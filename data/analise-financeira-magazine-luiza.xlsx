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bd23755f3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fc826b52652d462f"/>
    <x:sheet xmlns:r="http://schemas.openxmlformats.org/officeDocument/2006/relationships" name="DASHBOARD" sheetId="2" r:id="R71a933b1b6764385"/>
    <x:sheet xmlns:r="http://schemas.openxmlformats.org/officeDocument/2006/relationships" name="BASE_GRAFICOS" sheetId="3" r:id="R38c5697c1f0e4244"/>
    <x:sheet xmlns:r="http://schemas.openxmlformats.org/officeDocument/2006/relationships" name="INDICADORES" sheetId="4" r:id="Rc4b16fc593914fd8"/>
    <x:sheet xmlns:r="http://schemas.openxmlformats.org/officeDocument/2006/relationships" name="CHECKS" sheetId="5" r:id="Re65df5dcedb347bc"/>
    <x:sheet xmlns:r="http://schemas.openxmlformats.org/officeDocument/2006/relationships" name="DICIONARIO" sheetId="6" r:id="R082887cd8c844e7d"/>
    <x:sheet xmlns:r="http://schemas.openxmlformats.org/officeDocument/2006/relationships" name="FONTES" sheetId="7" r:id="R81023427fc34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-#,##0.0"/>
    <x:numFmt numFmtId="201" formatCode="0.0%;[Red]-0.0%"/>
    <x:numFmt numFmtId="202" formatCode="0.00x"/>
    <x:numFmt numFmtId="203" formatCode="#,##0.000;[Red]-#,##0.000"/>
    <x:numFmt numFmtId="204" formatCode="&quot;R$ &quot;#,##0.0"/>
    <x:numFmt numFmtId="205" formatCode="0.0%"/>
  </x:numFmts>
  <x:fonts count="14">
    <x:font>
      <x:sz val="11"/>
      <x:name val="Carlito"/>
    </x:font>
    <x:font>
      <x:b/>
      <x:sz val="22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i/>
      <x:sz val="11"/>
      <x:color rgb="FF9A3412"/>
      <x:name val="Carlito"/>
    </x:font>
    <x:font>
      <x:sz val="11"/>
      <x:color rgb="FF065F46"/>
      <x:name val="Carlito"/>
    </x:font>
    <x:font>
      <x:b/>
      <x:sz val="11"/>
      <x:color rgb="FF166534"/>
      <x:name val="Carlito"/>
    </x:font>
    <x:font>
      <x:i/>
      <x:sz val="11"/>
      <x:color rgb="FF1E3A8A"/>
      <x:name val="Carlito"/>
    </x:font>
    <x:font>
      <x:b/>
      <x:sz val="18"/>
      <x:color rgb="FF0F172A"/>
      <x:name val="Carlito"/>
    </x:font>
    <x:font>
      <x:i/>
      <x:sz val="11"/>
      <x:color rgb="FF0F766E"/>
      <x:name val="Carlito"/>
    </x:font>
    <x:font>
      <x:i/>
      <x:sz val="11"/>
      <x:color rgb="FF2563EB"/>
      <x:name val="Carlito"/>
    </x:font>
    <x:font>
      <x:i/>
      <x:sz val="11"/>
      <x:color rgb="FFF59E0B"/>
      <x:name val="Carlito"/>
    </x:font>
    <x:font>
      <x:i/>
      <x:sz val="11"/>
      <x:color rgb="FF7C3AE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4F7FB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DCFCE7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59E0B"/>
      </x:patternFill>
    </x:fill>
    <x:fill>
      <x:patternFill patternType="solid">
        <x:fgColor rgb="FF7C3AED"/>
      </x:patternFill>
    </x:fill>
  </x:fills>
  <x:borders count="34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6EE7B7"/>
      </x:left>
      <x:top style="thin">
        <x:color rgb="FF6EE7B7"/>
      </x:top>
    </x:border>
    <x:border>
      <x:top style="thin">
        <x:color rgb="FF6EE7B7"/>
      </x:top>
    </x:border>
    <x:border>
      <x:right style="thin">
        <x:color rgb="FF6EE7B7"/>
      </x:right>
      <x:top style="thin">
        <x:color rgb="FF6EE7B7"/>
      </x:top>
    </x:border>
    <x:border>
      <x:left style="thin">
        <x:color rgb="FF6EE7B7"/>
      </x:left>
    </x:border>
    <x:border>
      <x:right style="thin">
        <x:color rgb="FF6EE7B7"/>
      </x:right>
    </x:border>
    <x:border>
      <x:left style="thin">
        <x:color rgb="FF6EE7B7"/>
      </x:left>
      <x:bottom style="thin">
        <x:color rgb="FF6EE7B7"/>
      </x:bottom>
    </x:border>
    <x:border>
      <x:bottom style="thin">
        <x:color rgb="FF6EE7B7"/>
      </x:bottom>
    </x:border>
    <x:border>
      <x:right style="thin">
        <x:color rgb="FF6EE7B7"/>
      </x:right>
      <x:bottom style="thin">
        <x:color rgb="FF6EE7B7"/>
      </x:bottom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6" fillId="7" borderId="17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8" xfId="0" applyNumberFormat="1" applyFont="1" applyFill="1" applyBorder="1"/>
    <x:xf numFmtId="0" fontId="8" fillId="9" borderId="19" xfId="0" applyNumberFormat="1" applyFont="1" applyFill="1" applyBorder="1"/>
    <x:xf numFmtId="0" fontId="8" fillId="9" borderId="20" xfId="0" applyNumberFormat="1" applyFont="1" applyFill="1" applyBorder="1"/>
    <x:xf numFmtId="0" fontId="8" fillId="9" borderId="21" xfId="0" applyNumberFormat="1" applyFont="1" applyFill="1" applyBorder="1"/>
    <x:xf numFmtId="0" fontId="8" fillId="9" borderId="22" xfId="0" applyNumberFormat="1" applyFont="1" applyFill="1" applyBorder="1"/>
    <x:xf numFmtId="0" fontId="8" fillId="9" borderId="23" xfId="0" applyNumberFormat="1" applyFont="1" applyFill="1" applyBorder="1"/>
    <x:xf numFmtId="0" fontId="8" fillId="9" borderId="24" xfId="0" applyNumberFormat="1" applyFont="1" applyFill="1" applyBorder="1"/>
    <x:xf numFmtId="0" fontId="8" fillId="9" borderId="25" xfId="0" applyNumberFormat="1" applyFont="1" applyFill="1" applyBorder="1"/>
    <x:xf numFmtId="0" fontId="8" fillId="9" borderId="18" xfId="0" applyNumberFormat="1" applyFont="1" applyFill="1" applyBorder="1" applyAlignment="1">
      <x:alignment wrapText="1"/>
    </x:xf>
    <x:xf numFmtId="0" fontId="8" fillId="9" borderId="19" xfId="0" applyNumberFormat="1" applyFont="1" applyFill="1" applyBorder="1" applyAlignment="1">
      <x:alignment wrapText="1"/>
    </x:xf>
    <x:xf numFmtId="0" fontId="8" fillId="9" borderId="20" xfId="0" applyNumberFormat="1" applyFont="1" applyFill="1" applyBorder="1" applyAlignment="1">
      <x:alignment wrapText="1"/>
    </x:xf>
    <x:xf numFmtId="0" fontId="8" fillId="9" borderId="21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22" xfId="0" applyNumberFormat="1" applyFont="1" applyFill="1" applyBorder="1" applyAlignment="1">
      <x:alignment wrapText="1"/>
    </x:xf>
    <x:xf numFmtId="0" fontId="8" fillId="9" borderId="23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wrapText="1"/>
    </x:xf>
    <x:xf numFmtId="0" fontId="8" fillId="9" borderId="25" xfId="0" applyNumberFormat="1" applyFont="1" applyFill="1" applyBorder="1" applyAlignment="1">
      <x:alignment wrapText="1"/>
    </x:xf>
    <x:xf numFmtId="0" fontId="8" fillId="9" borderId="18" xfId="0" applyNumberFormat="1" applyFont="1" applyFill="1" applyBorder="1" applyAlignment="1">
      <x:alignment vertical="center" wrapText="1"/>
    </x:xf>
    <x:xf numFmtId="0" fontId="8" fillId="9" borderId="19" xfId="0" applyNumberFormat="1" applyFont="1" applyFill="1" applyBorder="1" applyAlignment="1">
      <x:alignment vertical="center" wrapText="1"/>
    </x:xf>
    <x:xf numFmtId="0" fontId="8" fillId="9" borderId="20" xfId="0" applyNumberFormat="1" applyFont="1" applyFill="1" applyBorder="1" applyAlignment="1">
      <x:alignment vertical="center" wrapText="1"/>
    </x:xf>
    <x:xf numFmtId="0" fontId="8" fillId="9" borderId="2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22" xfId="0" applyNumberFormat="1" applyFont="1" applyFill="1" applyBorder="1" applyAlignment="1">
      <x:alignment vertical="center" wrapText="1"/>
    </x:xf>
    <x:xf numFmtId="0" fontId="8" fillId="9" borderId="23" xfId="0" applyNumberFormat="1" applyFont="1" applyFill="1" applyBorder="1" applyAlignment="1">
      <x:alignment vertical="center" wrapText="1"/>
    </x:xf>
    <x:xf numFmtId="0" fontId="8" fillId="9" borderId="24" xfId="0" applyNumberFormat="1" applyFont="1" applyFill="1" applyBorder="1" applyAlignment="1">
      <x:alignment vertical="center" wrapText="1"/>
    </x:xf>
    <x:xf numFmtId="0" fontId="8" fillId="9" borderId="25" xfId="0" applyNumberFormat="1" applyFont="1" applyFill="1" applyBorder="1" applyAlignment="1">
      <x:alignment vertical="center" wrapText="1"/>
    </x:xf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31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0" fontId="0" fillId="5" borderId="26" xfId="0" applyNumberFormat="1" applyFont="1" applyFill="1" applyBorder="1" applyAlignment="1">
      <x:alignment vertical="center"/>
    </x:xf>
    <x:xf numFmtId="0" fontId="0" fillId="5" borderId="27" xfId="0" applyNumberFormat="1" applyFont="1" applyFill="1" applyBorder="1" applyAlignment="1">
      <x:alignment vertical="center"/>
    </x:xf>
    <x:xf numFmtId="0" fontId="0" fillId="5" borderId="28" xfId="0" applyNumberFormat="1" applyFont="1" applyFill="1" applyBorder="1" applyAlignment="1">
      <x:alignment vertical="center"/>
    </x:xf>
    <x:xf numFmtId="0" fontId="0" fillId="5" borderId="2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30" xfId="0" applyNumberFormat="1" applyFont="1" applyFill="1" applyBorder="1" applyAlignment="1">
      <x:alignment vertical="center"/>
    </x:xf>
    <x:xf numFmtId="0" fontId="0" fillId="5" borderId="31" xfId="0" applyNumberFormat="1" applyFont="1" applyFill="1" applyBorder="1" applyAlignment="1">
      <x:alignment vertical="center"/>
    </x:xf>
    <x:xf numFmtId="0" fontId="0" fillId="5" borderId="32" xfId="0" applyNumberFormat="1" applyFont="1" applyFill="1" applyBorder="1" applyAlignment="1">
      <x:alignment vertical="center"/>
    </x:xf>
    <x:xf numFmtId="0" fontId="0" fillId="5" borderId="33" xfId="0" applyNumberFormat="1" applyFont="1" applyFill="1" applyBorder="1" applyAlignment="1">
      <x:alignment vertical="center"/>
    </x:xf>
    <x:xf numFmtId="0" fontId="0" fillId="4" borderId="26" xfId="0" applyNumberFormat="1" applyFont="1" applyFill="1" applyBorder="1" applyAlignment="1">
      <x:alignment vertical="center"/>
    </x:xf>
    <x:xf numFmtId="0" fontId="0" fillId="4" borderId="27" xfId="0" applyNumberFormat="1" applyFont="1" applyFill="1" applyBorder="1" applyAlignment="1">
      <x:alignment vertical="center"/>
    </x:xf>
    <x:xf numFmtId="0" fontId="0" fillId="4" borderId="28" xfId="0" applyNumberFormat="1" applyFont="1" applyFill="1" applyBorder="1" applyAlignment="1">
      <x:alignment vertical="center"/>
    </x:xf>
    <x:xf numFmtId="0" fontId="3" fillId="4" borderId="26" xfId="0" applyNumberFormat="1" applyFont="1" applyFill="1" applyBorder="1" applyAlignment="1">
      <x:alignment vertical="center"/>
    </x:xf>
    <x:xf numFmtId="0" fontId="3" fillId="4" borderId="27" xfId="0" applyNumberFormat="1" applyFont="1" applyFill="1" applyBorder="1" applyAlignment="1">
      <x:alignment vertical="center"/>
    </x:xf>
    <x:xf numFmtId="0" fontId="3" fillId="4" borderId="28" xfId="0" applyNumberFormat="1" applyFont="1" applyFill="1" applyBorder="1" applyAlignment="1">
      <x:alignment vertical="center"/>
    </x:xf>
    <x:xf numFmtId="0" fontId="3" fillId="4" borderId="26" xfId="0" applyNumberFormat="1" applyFont="1" applyFill="1" applyBorder="1" applyAlignment="1">
      <x:alignment horizontal="center" vertical="center"/>
    </x:xf>
    <x:xf numFmtId="0" fontId="3" fillId="4" borderId="27" xfId="0" applyNumberFormat="1" applyFont="1" applyFill="1" applyBorder="1" applyAlignment="1">
      <x:alignment horizontal="center" vertical="center"/>
    </x:xf>
    <x:xf numFmtId="0" fontId="3" fillId="4" borderId="28" xfId="0" applyNumberFormat="1" applyFont="1" applyFill="1" applyBorder="1" applyAlignment="1">
      <x:alignment horizontal="center" vertical="center"/>
    </x:xf>
    <x:xf numFmtId="0" fontId="9" fillId="5" borderId="29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30" xfId="0" applyNumberFormat="1" applyFont="1" applyFill="1" applyBorder="1" applyAlignment="1">
      <x:alignment vertical="center"/>
    </x:xf>
    <x:xf numFmtId="204" fontId="9" fillId="5" borderId="29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204" fontId="9" fillId="5" borderId="30" xfId="0" applyNumberFormat="1" applyFont="1" applyFill="1" applyBorder="1" applyAlignment="1">
      <x:alignment vertical="center"/>
    </x:xf>
    <x:xf numFmtId="204" fontId="9" fillId="5" borderId="29" xfId="0" applyNumberFormat="1" applyFont="1" applyFill="1" applyBorder="1" applyAlignment="1">
      <x:alignment horizontal="center" vertical="center"/>
    </x:xf>
    <x:xf numFmtId="204" fontId="9" fillId="5" borderId="0" xfId="0" applyNumberFormat="1" applyFont="1" applyFill="1" applyBorder="1" applyAlignment="1">
      <x:alignment horizontal="center" vertical="center"/>
    </x:xf>
    <x:xf numFmtId="204" fontId="9" fillId="5" borderId="30" xfId="0" applyNumberFormat="1" applyFont="1" applyFill="1" applyBorder="1" applyAlignment="1">
      <x:alignment horizontal="center" vertical="center"/>
    </x:xf>
    <x:xf numFmtId="0" fontId="10" fillId="5" borderId="31" xfId="0" applyNumberFormat="1" applyFont="1" applyFill="1" applyBorder="1" applyAlignment="1">
      <x:alignment vertical="center"/>
    </x:xf>
    <x:xf numFmtId="0" fontId="10" fillId="5" borderId="32" xfId="0" applyNumberFormat="1" applyFont="1" applyFill="1" applyBorder="1" applyAlignment="1">
      <x:alignment vertical="center"/>
    </x:xf>
    <x:xf numFmtId="0" fontId="10" fillId="5" borderId="33" xfId="0" applyNumberFormat="1" applyFont="1" applyFill="1" applyBorder="1" applyAlignment="1">
      <x:alignment vertical="center"/>
    </x:xf>
    <x:xf numFmtId="205" fontId="10" fillId="5" borderId="31" xfId="0" applyNumberFormat="1" applyFont="1" applyFill="1" applyBorder="1" applyAlignment="1">
      <x:alignment vertical="center"/>
    </x:xf>
    <x:xf numFmtId="205" fontId="10" fillId="5" borderId="32" xfId="0" applyNumberFormat="1" applyFont="1" applyFill="1" applyBorder="1" applyAlignment="1">
      <x:alignment vertical="center"/>
    </x:xf>
    <x:xf numFmtId="205" fontId="10" fillId="5" borderId="33" xfId="0" applyNumberFormat="1" applyFont="1" applyFill="1" applyBorder="1" applyAlignment="1">
      <x:alignment vertical="center"/>
    </x:xf>
    <x:xf numFmtId="205" fontId="10" fillId="5" borderId="31" xfId="0" applyNumberFormat="1" applyFont="1" applyFill="1" applyBorder="1" applyAlignment="1">
      <x:alignment horizontal="center" vertical="center"/>
    </x:xf>
    <x:xf numFmtId="205" fontId="10" fillId="5" borderId="32" xfId="0" applyNumberFormat="1" applyFont="1" applyFill="1" applyBorder="1" applyAlignment="1">
      <x:alignment horizontal="center" vertical="center"/>
    </x:xf>
    <x:xf numFmtId="205" fontId="10" fillId="5" borderId="33" xfId="0" applyNumberFormat="1" applyFont="1" applyFill="1" applyBorder="1" applyAlignment="1">
      <x:alignment horizontal="center" vertical="center"/>
    </x:xf>
    <x:xf numFmtId="0" fontId="0" fillId="10" borderId="26" xfId="0" applyNumberFormat="1" applyFont="1" applyFill="1" applyBorder="1" applyAlignment="1">
      <x:alignment vertical="center"/>
    </x:xf>
    <x:xf numFmtId="0" fontId="0" fillId="10" borderId="27" xfId="0" applyNumberFormat="1" applyFont="1" applyFill="1" applyBorder="1" applyAlignment="1">
      <x:alignment vertical="center"/>
    </x:xf>
    <x:xf numFmtId="0" fontId="0" fillId="10" borderId="28" xfId="0" applyNumberFormat="1" applyFont="1" applyFill="1" applyBorder="1" applyAlignment="1">
      <x:alignment vertical="center"/>
    </x:xf>
    <x:xf numFmtId="0" fontId="3" fillId="10" borderId="26" xfId="0" applyNumberFormat="1" applyFont="1" applyFill="1" applyBorder="1" applyAlignment="1">
      <x:alignment vertical="center"/>
    </x:xf>
    <x:xf numFmtId="0" fontId="3" fillId="10" borderId="27" xfId="0" applyNumberFormat="1" applyFont="1" applyFill="1" applyBorder="1" applyAlignment="1">
      <x:alignment vertical="center"/>
    </x:xf>
    <x:xf numFmtId="0" fontId="3" fillId="10" borderId="28" xfId="0" applyNumberFormat="1" applyFont="1" applyFill="1" applyBorder="1" applyAlignment="1">
      <x:alignment vertical="center"/>
    </x:xf>
    <x:xf numFmtId="0" fontId="3" fillId="10" borderId="26" xfId="0" applyNumberFormat="1" applyFont="1" applyFill="1" applyBorder="1" applyAlignment="1">
      <x:alignment horizontal="center" vertical="center"/>
    </x:xf>
    <x:xf numFmtId="0" fontId="3" fillId="10" borderId="27" xfId="0" applyNumberFormat="1" applyFont="1" applyFill="1" applyBorder="1" applyAlignment="1">
      <x:alignment horizontal="center" vertical="center"/>
    </x:xf>
    <x:xf numFmtId="0" fontId="3" fillId="10" borderId="28" xfId="0" applyNumberFormat="1" applyFont="1" applyFill="1" applyBorder="1" applyAlignment="1">
      <x:alignment horizontal="center" vertical="center"/>
    </x:xf>
    <x:xf numFmtId="0" fontId="11" fillId="5" borderId="31" xfId="0" applyNumberFormat="1" applyFont="1" applyFill="1" applyBorder="1" applyAlignment="1">
      <x:alignment vertical="center"/>
    </x:xf>
    <x:xf numFmtId="0" fontId="11" fillId="5" borderId="32" xfId="0" applyNumberFormat="1" applyFont="1" applyFill="1" applyBorder="1" applyAlignment="1">
      <x:alignment vertical="center"/>
    </x:xf>
    <x:xf numFmtId="0" fontId="11" fillId="5" borderId="33" xfId="0" applyNumberFormat="1" applyFont="1" applyFill="1" applyBorder="1" applyAlignment="1">
      <x:alignment vertical="center"/>
    </x:xf>
    <x:xf numFmtId="205" fontId="11" fillId="5" borderId="31" xfId="0" applyNumberFormat="1" applyFont="1" applyFill="1" applyBorder="1" applyAlignment="1">
      <x:alignment vertical="center"/>
    </x:xf>
    <x:xf numFmtId="205" fontId="11" fillId="5" borderId="32" xfId="0" applyNumberFormat="1" applyFont="1" applyFill="1" applyBorder="1" applyAlignment="1">
      <x:alignment vertical="center"/>
    </x:xf>
    <x:xf numFmtId="205" fontId="11" fillId="5" borderId="33" xfId="0" applyNumberFormat="1" applyFont="1" applyFill="1" applyBorder="1" applyAlignment="1">
      <x:alignment vertical="center"/>
    </x:xf>
    <x:xf numFmtId="205" fontId="11" fillId="5" borderId="31" xfId="0" applyNumberFormat="1" applyFont="1" applyFill="1" applyBorder="1" applyAlignment="1">
      <x:alignment horizontal="center" vertical="center"/>
    </x:xf>
    <x:xf numFmtId="205" fontId="11" fillId="5" borderId="32" xfId="0" applyNumberFormat="1" applyFont="1" applyFill="1" applyBorder="1" applyAlignment="1">
      <x:alignment horizontal="center" vertical="center"/>
    </x:xf>
    <x:xf numFmtId="205" fontId="11" fillId="5" borderId="33" xfId="0" applyNumberFormat="1" applyFont="1" applyFill="1" applyBorder="1" applyAlignment="1">
      <x:alignment horizontal="center" vertical="center"/>
    </x:xf>
    <x:xf numFmtId="0" fontId="0" fillId="11" borderId="26" xfId="0" applyNumberFormat="1" applyFont="1" applyFill="1" applyBorder="1" applyAlignment="1">
      <x:alignment vertical="center"/>
    </x:xf>
    <x:xf numFmtId="0" fontId="0" fillId="11" borderId="27" xfId="0" applyNumberFormat="1" applyFont="1" applyFill="1" applyBorder="1" applyAlignment="1">
      <x:alignment vertical="center"/>
    </x:xf>
    <x:xf numFmtId="0" fontId="0" fillId="11" borderId="28" xfId="0" applyNumberFormat="1" applyFont="1" applyFill="1" applyBorder="1" applyAlignment="1">
      <x:alignment vertical="center"/>
    </x:xf>
    <x:xf numFmtId="0" fontId="3" fillId="11" borderId="26" xfId="0" applyNumberFormat="1" applyFont="1" applyFill="1" applyBorder="1" applyAlignment="1">
      <x:alignment vertical="center"/>
    </x:xf>
    <x:xf numFmtId="0" fontId="3" fillId="11" borderId="27" xfId="0" applyNumberFormat="1" applyFont="1" applyFill="1" applyBorder="1" applyAlignment="1">
      <x:alignment vertical="center"/>
    </x:xf>
    <x:xf numFmtId="0" fontId="3" fillId="11" borderId="28" xfId="0" applyNumberFormat="1" applyFont="1" applyFill="1" applyBorder="1" applyAlignment="1">
      <x:alignment vertical="center"/>
    </x:xf>
    <x:xf numFmtId="0" fontId="3" fillId="11" borderId="26" xfId="0" applyNumberFormat="1" applyFont="1" applyFill="1" applyBorder="1" applyAlignment="1">
      <x:alignment horizontal="center" vertical="center"/>
    </x:xf>
    <x:xf numFmtId="0" fontId="3" fillId="11" borderId="27" xfId="0" applyNumberFormat="1" applyFont="1" applyFill="1" applyBorder="1" applyAlignment="1">
      <x:alignment horizontal="center" vertical="center"/>
    </x:xf>
    <x:xf numFmtId="0" fontId="3" fillId="11" borderId="28" xfId="0" applyNumberFormat="1" applyFont="1" applyFill="1" applyBorder="1" applyAlignment="1">
      <x:alignment horizontal="center" vertical="center"/>
    </x:xf>
    <x:xf numFmtId="0" fontId="12" fillId="5" borderId="31" xfId="0" applyNumberFormat="1" applyFont="1" applyFill="1" applyBorder="1" applyAlignment="1">
      <x:alignment vertical="center"/>
    </x:xf>
    <x:xf numFmtId="0" fontId="12" fillId="5" borderId="32" xfId="0" applyNumberFormat="1" applyFont="1" applyFill="1" applyBorder="1" applyAlignment="1">
      <x:alignment vertical="center"/>
    </x:xf>
    <x:xf numFmtId="0" fontId="12" fillId="5" borderId="33" xfId="0" applyNumberFormat="1" applyFont="1" applyFill="1" applyBorder="1" applyAlignment="1">
      <x:alignment vertical="center"/>
    </x:xf>
    <x:xf numFmtId="205" fontId="12" fillId="5" borderId="31" xfId="0" applyNumberFormat="1" applyFont="1" applyFill="1" applyBorder="1" applyAlignment="1">
      <x:alignment vertical="center"/>
    </x:xf>
    <x:xf numFmtId="205" fontId="12" fillId="5" borderId="32" xfId="0" applyNumberFormat="1" applyFont="1" applyFill="1" applyBorder="1" applyAlignment="1">
      <x:alignment vertical="center"/>
    </x:xf>
    <x:xf numFmtId="205" fontId="12" fillId="5" borderId="33" xfId="0" applyNumberFormat="1" applyFont="1" applyFill="1" applyBorder="1" applyAlignment="1">
      <x:alignment vertical="center"/>
    </x:xf>
    <x:xf numFmtId="205" fontId="12" fillId="5" borderId="31" xfId="0" applyNumberFormat="1" applyFont="1" applyFill="1" applyBorder="1" applyAlignment="1">
      <x:alignment horizontal="center" vertical="center"/>
    </x:xf>
    <x:xf numFmtId="205" fontId="12" fillId="5" borderId="32" xfId="0" applyNumberFormat="1" applyFont="1" applyFill="1" applyBorder="1" applyAlignment="1">
      <x:alignment horizontal="center" vertical="center"/>
    </x:xf>
    <x:xf numFmtId="205" fontId="12" fillId="5" borderId="33" xfId="0" applyNumberFormat="1" applyFont="1" applyFill="1" applyBorder="1" applyAlignment="1">
      <x:alignment horizontal="center" vertical="center"/>
    </x:xf>
    <x:xf numFmtId="0" fontId="0" fillId="12" borderId="26" xfId="0" applyNumberFormat="1" applyFont="1" applyFill="1" applyBorder="1" applyAlignment="1">
      <x:alignment vertical="center"/>
    </x:xf>
    <x:xf numFmtId="0" fontId="0" fillId="12" borderId="27" xfId="0" applyNumberFormat="1" applyFont="1" applyFill="1" applyBorder="1" applyAlignment="1">
      <x:alignment vertical="center"/>
    </x:xf>
    <x:xf numFmtId="0" fontId="0" fillId="12" borderId="28" xfId="0" applyNumberFormat="1" applyFont="1" applyFill="1" applyBorder="1" applyAlignment="1">
      <x:alignment vertical="center"/>
    </x:xf>
    <x:xf numFmtId="0" fontId="3" fillId="12" borderId="26" xfId="0" applyNumberFormat="1" applyFont="1" applyFill="1" applyBorder="1" applyAlignment="1">
      <x:alignment vertical="center"/>
    </x:xf>
    <x:xf numFmtId="0" fontId="3" fillId="12" borderId="27" xfId="0" applyNumberFormat="1" applyFont="1" applyFill="1" applyBorder="1" applyAlignment="1">
      <x:alignment vertical="center"/>
    </x:xf>
    <x:xf numFmtId="0" fontId="3" fillId="12" borderId="28" xfId="0" applyNumberFormat="1" applyFont="1" applyFill="1" applyBorder="1" applyAlignment="1">
      <x:alignment vertical="center"/>
    </x:xf>
    <x:xf numFmtId="0" fontId="3" fillId="12" borderId="26" xfId="0" applyNumberFormat="1" applyFont="1" applyFill="1" applyBorder="1" applyAlignment="1">
      <x:alignment horizontal="center" vertical="center"/>
    </x:xf>
    <x:xf numFmtId="0" fontId="3" fillId="12" borderId="27" xfId="0" applyNumberFormat="1" applyFont="1" applyFill="1" applyBorder="1" applyAlignment="1">
      <x:alignment horizontal="center" vertical="center"/>
    </x:xf>
    <x:xf numFmtId="0" fontId="3" fillId="12" borderId="28" xfId="0" applyNumberFormat="1" applyFont="1" applyFill="1" applyBorder="1" applyAlignment="1">
      <x:alignment horizontal="center" vertical="center"/>
    </x:xf>
    <x:xf numFmtId="202" fontId="9" fillId="5" borderId="29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202" fontId="9" fillId="5" borderId="30" xfId="0" applyNumberFormat="1" applyFont="1" applyFill="1" applyBorder="1" applyAlignment="1">
      <x:alignment vertical="center"/>
    </x:xf>
    <x:xf numFmtId="202" fontId="9" fillId="5" borderId="29" xfId="0" applyNumberFormat="1" applyFont="1" applyFill="1" applyBorder="1" applyAlignment="1">
      <x:alignment horizontal="center" vertical="center"/>
    </x:xf>
    <x:xf numFmtId="202" fontId="9" fillId="5" borderId="0" xfId="0" applyNumberFormat="1" applyFont="1" applyFill="1" applyBorder="1" applyAlignment="1">
      <x:alignment horizontal="center" vertical="center"/>
    </x:xf>
    <x:xf numFmtId="202" fontId="9" fillId="5" borderId="30" xfId="0" applyNumberFormat="1" applyFont="1" applyFill="1" applyBorder="1" applyAlignment="1">
      <x:alignment horizontal="center" vertical="center"/>
    </x:xf>
    <x:xf numFmtId="0" fontId="13" fillId="5" borderId="31" xfId="0" applyNumberFormat="1" applyFont="1" applyFill="1" applyBorder="1" applyAlignment="1">
      <x:alignment vertical="center"/>
    </x:xf>
    <x:xf numFmtId="0" fontId="13" fillId="5" borderId="32" xfId="0" applyNumberFormat="1" applyFont="1" applyFill="1" applyBorder="1" applyAlignment="1">
      <x:alignment vertical="center"/>
    </x:xf>
    <x:xf numFmtId="0" fontId="13" fillId="5" borderId="33" xfId="0" applyNumberFormat="1" applyFont="1" applyFill="1" applyBorder="1" applyAlignment="1">
      <x:alignment vertical="center"/>
    </x:xf>
    <x:xf numFmtId="205" fontId="13" fillId="5" borderId="31" xfId="0" applyNumberFormat="1" applyFont="1" applyFill="1" applyBorder="1" applyAlignment="1">
      <x:alignment vertical="center"/>
    </x:xf>
    <x:xf numFmtId="205" fontId="13" fillId="5" borderId="32" xfId="0" applyNumberFormat="1" applyFont="1" applyFill="1" applyBorder="1" applyAlignment="1">
      <x:alignment vertical="center"/>
    </x:xf>
    <x:xf numFmtId="205" fontId="13" fillId="5" borderId="33" xfId="0" applyNumberFormat="1" applyFont="1" applyFill="1" applyBorder="1" applyAlignment="1">
      <x:alignment vertical="center"/>
    </x:xf>
    <x:xf numFmtId="205" fontId="13" fillId="5" borderId="31" xfId="0" applyNumberFormat="1" applyFont="1" applyFill="1" applyBorder="1" applyAlignment="1">
      <x:alignment horizontal="center" vertical="center"/>
    </x:xf>
    <x:xf numFmtId="205" fontId="13" fillId="5" borderId="32" xfId="0" applyNumberFormat="1" applyFont="1" applyFill="1" applyBorder="1" applyAlignment="1">
      <x:alignment horizontal="center" vertical="center"/>
    </x:xf>
    <x:xf numFmtId="205" fontId="13" fillId="5" borderId="33" xfId="0" applyNumberFormat="1" applyFont="1" applyFill="1" applyBorder="1" applyAlignment="1">
      <x:alignment horizontal="center" vertical="center"/>
    </x:xf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8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31" xfId="0" applyNumberFormat="1" applyFont="1" applyFill="1" applyBorder="1"/>
    <x:xf numFmtId="0" fontId="4" fillId="5" borderId="32" xfId="0" applyNumberFormat="1" applyFont="1" applyFill="1" applyBorder="1"/>
    <x:xf numFmtId="0" fontId="4" fillId="5" borderId="33" xfId="0" applyNumberFormat="1" applyFont="1" applyFill="1" applyBorder="1"/>
    <x:xf numFmtId="0" fontId="4" fillId="5" borderId="26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4" fillId="5" borderId="28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wrapText="1"/>
    </x:xf>
    <x:xf numFmtId="0" fontId="4" fillId="5" borderId="31" xfId="0" applyNumberFormat="1" applyFont="1" applyFill="1" applyBorder="1" applyAlignment="1">
      <x:alignment wrapText="1"/>
    </x:xf>
    <x:xf numFmtId="0" fontId="4" fillId="5" borderId="32" xfId="0" applyNumberFormat="1" applyFont="1" applyFill="1" applyBorder="1" applyAlignment="1">
      <x:alignment wrapText="1"/>
    </x:xf>
    <x:xf numFmtId="0" fontId="4" fillId="5" borderId="33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30" xfId="0" applyNumberFormat="1" applyFont="1" applyFill="1" applyBorder="1" applyAlignment="1">
      <x:alignment vertical="top" wrapText="1"/>
    </x:xf>
    <x:xf numFmtId="0" fontId="4" fillId="5" borderId="31" xfId="0" applyNumberFormat="1" applyFont="1" applyFill="1" applyBorder="1" applyAlignment="1">
      <x:alignment vertical="top" wrapText="1"/>
    </x:xf>
    <x:xf numFmtId="0" fontId="4" fillId="5" borderId="32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dcc22594045a2" /><Relationship Type="http://schemas.openxmlformats.org/officeDocument/2006/relationships/theme" Target="/xl/theme/theme1.xml" Id="R4fa54155f4b84962" /><Relationship Type="http://schemas.openxmlformats.org/officeDocument/2006/relationships/sharedStrings" Target="/xl/sharedStrings.xml" Id="Rcd4fd3d6d4c742c4" /><Relationship Type="http://schemas.openxmlformats.org/officeDocument/2006/relationships/worksheet" Target="/xl/worksheets/sheet1.xml" Id="Rfc826b52652d462f" /><Relationship Type="http://schemas.openxmlformats.org/officeDocument/2006/relationships/worksheet" Target="/xl/worksheets/sheet2.xml" Id="R71a933b1b6764385" /><Relationship Type="http://schemas.openxmlformats.org/officeDocument/2006/relationships/worksheet" Target="/xl/worksheets/sheet3.xml" Id="R38c5697c1f0e4244" /><Relationship Type="http://schemas.openxmlformats.org/officeDocument/2006/relationships/worksheet" Target="/xl/worksheets/sheet4.xml" Id="Rc4b16fc593914fd8" /><Relationship Type="http://schemas.openxmlformats.org/officeDocument/2006/relationships/worksheet" Target="/xl/worksheets/sheet5.xml" Id="Re65df5dcedb347bc" /><Relationship Type="http://schemas.openxmlformats.org/officeDocument/2006/relationships/worksheet" Target="/xl/worksheets/sheet6.xml" Id="R082887cd8c844e7d" /><Relationship Type="http://schemas.openxmlformats.org/officeDocument/2006/relationships/worksheet" Target="/xl/worksheets/sheet7.xml" Id="R81023427fc3440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f1ae2296de4734" /><Relationship Type="http://schemas.openxmlformats.org/officeDocument/2006/relationships/chart" Target="/xl/drawings/charts/chart2.xml" Id="R4ed336ff52f94e96" /><Relationship Type="http://schemas.openxmlformats.org/officeDocument/2006/relationships/chart" Target="/xl/drawings/charts/chart3.xml" Id="Rfe2c9698511343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lucro bruto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</c:v>
          </c:tx>
          <c:marker>
            <c:symbol val="none"/>
          </c:marker>
          <c:cat>
            <c:strRef>
              <c:f>'BASE_GRAFICOS'!$A$2:$A$6</c:f>
              <c:strCache>
                <c:ptCount val="0"/>
              </c:strCache>
            </c:strRef>
          </c:cat>
          <c:val>
            <c:numRef>
              <c:f>'BASE_GRAFICOS'!$B$2:$B$6</c:f>
              <c:numCache>
                <c:formatCode>#,##0.0;[Red]-#,##0.0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Lucro Bruto</c:v>
          </c:tx>
          <c:marker>
            <c:symbol val="none"/>
          </c:marker>
          <c:cat>
            <c:strRef>
              <c:f>'BASE_GRAFICOS'!$A$2:$A$6</c:f>
              <c:strCache>
                <c:ptCount val="0"/>
              </c:strCache>
            </c:strRef>
          </c:cat>
          <c:val>
            <c:numRef>
              <c:f>'BASE_GRAFICOS'!$C$2:$C$6</c:f>
              <c:numCache>
                <c:formatCode>#,##0.0;[Red]-#,##0.0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&quot; mi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das margens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Margem Bruta</c:v>
          </c:tx>
          <c:marker>
            <c:symbol val="none"/>
          </c:marker>
          <c:cat>
            <c:strRef>
              <c:f>'BASE_GRAFICOS'!$E$2:$E$6</c:f>
              <c:strCache>
                <c:ptCount val="0"/>
              </c:strCache>
            </c:strRef>
          </c:cat>
          <c:val>
            <c:numRef>
              <c:f>'BASE_GRAFICOS'!$F$2:$F$6</c:f>
              <c:numCache>
                <c:formatCode>0.0%;[Red]-0.0%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Margem Operacional</c:v>
          </c:tx>
          <c:marker>
            <c:symbol val="none"/>
          </c:marker>
          <c:cat>
            <c:strRef>
              <c:f>'BASE_GRAFICOS'!$E$2:$E$6</c:f>
              <c:strCache>
                <c:ptCount val="0"/>
              </c:strCache>
            </c:strRef>
          </c:cat>
          <c:val>
            <c:numRef>
              <c:f>'BASE_GRAFICOS'!$G$2:$G$6</c:f>
              <c:numCache>
                <c:formatCode>0.0%;[Red]-0.0%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Margem Líquida</c:v>
          </c:tx>
          <c:marker>
            <c:symbol val="none"/>
          </c:marker>
          <c:cat>
            <c:strRef>
              <c:f>'BASE_GRAFICOS'!$E$2:$E$6</c:f>
              <c:strCache>
                <c:ptCount val="0"/>
              </c:strCache>
            </c:strRef>
          </c:cat>
          <c:val>
            <c:numRef>
              <c:f>'BASE_GRAFICOS'!$H$2:$H$6</c:f>
              <c:numCache>
                <c:formatCode>0.0%;[Red]-0.0%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Fluxos de caixa por atividade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FCO</c:v>
          </c:tx>
          <c:cat>
            <c:strRef>
              <c:f>'BASE_GRAFICOS'!$J$2:$J$6</c:f>
              <c:strCache>
                <c:ptCount val="0"/>
              </c:strCache>
            </c:strRef>
          </c:cat>
          <c:val>
            <c:numRef>
              <c:f>'BASE_GRAFICOS'!$K$2:$K$6</c:f>
              <c:numCache>
                <c:formatCode>#,##0.0;[Red]-#,##0.0</c:formatCode>
                <c:ptCount val="0"/>
              </c:numCache>
            </c:numRef>
          </c:val>
        </c:ser>
        <c:ser>
          <c:idx val="1"/>
          <c:order val="1"/>
          <c:tx>
            <c:v>FCI</c:v>
          </c:tx>
          <c:cat>
            <c:strRef>
              <c:f>'BASE_GRAFICOS'!$J$2:$J$6</c:f>
              <c:strCache>
                <c:ptCount val="0"/>
              </c:strCache>
            </c:strRef>
          </c:cat>
          <c:val>
            <c:numRef>
              <c:f>'BASE_GRAFICOS'!$L$2:$L$6</c:f>
              <c:numCache>
                <c:formatCode>#,##0.0;[Red]-#,##0.0</c:formatCode>
                <c:ptCount val="0"/>
              </c:numCache>
            </c:numRef>
          </c:val>
        </c:ser>
        <c:ser>
          <c:idx val="2"/>
          <c:order val="2"/>
          <c:tx>
            <c:v>FCF</c:v>
          </c:tx>
          <c:cat>
            <c:strRef>
              <c:f>'BASE_GRAFICOS'!$J$2:$J$6</c:f>
              <c:strCache>
                <c:ptCount val="0"/>
              </c:strCache>
            </c:strRef>
          </c:cat>
          <c:val>
            <c:numRef>
              <c:f>'BASE_GRAFICOS'!$M$2:$M$6</c:f>
              <c:numCache>
                <c:formatCode>#,##0.0;[Red]-#,##0.0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&quot; mi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f1ae2296de4734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336ff52f94e96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2c9698511343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Indicadores" displayName="tblIndicadores" ref="A1:AJ6" headerRowCount="1" totalsRowCount="0" totalsRowShown="0">
  <x:tableColumns count="36">
    <x:tableColumn id="1" name="Ano"/>
    <x:tableColumn id="2" name="Receita"/>
    <x:tableColumn id="3" name="Custos"/>
    <x:tableColumn id="4" name="Lucro Bruto"/>
    <x:tableColumn id="5" name="Despesas Operacionais"/>
    <x:tableColumn id="6" name="Resultado Operacional"/>
    <x:tableColumn id="7" name="Resultado Financeiro"/>
    <x:tableColumn id="8" name="Lucro Líquido"/>
    <x:tableColumn id="9" name="Ativo Total"/>
    <x:tableColumn id="10" name="Ativo Circulante"/>
    <x:tableColumn id="11" name="Caixa"/>
    <x:tableColumn id="12" name="Contas a Receber"/>
    <x:tableColumn id="13" name="Estoques"/>
    <x:tableColumn id="14" name="Passivo Total"/>
    <x:tableColumn id="15" name="Passivo Circulante"/>
    <x:tableColumn id="16" name="Dívida CP"/>
    <x:tableColumn id="17" name="Dívida LP"/>
    <x:tableColumn id="18" name="Patrimônio Líquido"/>
    <x:tableColumn id="19" name="FCO"/>
    <x:tableColumn id="20" name="FCI"/>
    <x:tableColumn id="21" name="FCF"/>
    <x:tableColumn id="22" name="Variação de Caixa"/>
    <x:tableColumn id="23" name="Capex Imobilizado"/>
    <x:tableColumn id="24" name="Capex Intangível"/>
    <x:tableColumn id="25" name="Capex"/>
    <x:tableColumn id="26" name="Fluxo de Caixa Livre"/>
    <x:tableColumn id="27" name="Dívida Bruta"/>
    <x:tableColumn id="28" name="Dívida Líquida"/>
    <x:tableColumn id="29" name="Margem Bruta"/>
    <x:tableColumn id="30" name="Margem Operacional"/>
    <x:tableColumn id="31" name="Margem Líquida"/>
    <x:tableColumn id="32" name="Liquidez Corrente"/>
    <x:tableColumn id="33" name="ROA"/>
    <x:tableColumn id="34" name="ROE"/>
    <x:tableColumn id="35" name="Crescimento Receita"/>
    <x:tableColumn id="36" name="Crescimento Luc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icionario" displayName="tblDicionario" ref="A1:G32" headerRowCount="1" totalsRowCount="0" totalsRowShown="0">
  <x:tableColumns count="7">
    <x:tableColumn id="1" name="Metrica"/>
    <x:tableColumn id="2" name="Rotulo"/>
    <x:tableColumn id="3" name="Categoria"/>
    <x:tableColumn id="4" name="Demonstracao"/>
    <x:tableColumn id="5" name="Codigo_Conta_CVM"/>
    <x:tableColumn id="6" name="Unidade_Modelo"/>
    <x:tableColumn id="7" name="Reg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adda0920b347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0a19026333b43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f05385d30dca41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3" t="str">
        <x:v>Análise Financeira — Magazine Luiza S.A.</x:v>
      </x:c>
      <x:c r="B1" s="3" t="str">
        <x:v>Análise Financeira — Magazine Luiza S.A.</x:v>
      </x:c>
      <x:c r="C1" s="3" t="str">
        <x:v>Análise Financeira — Magazine Luiza S.A.</x:v>
      </x:c>
      <x:c r="D1" s="3" t="str">
        <x:v>Análise Financeira — Magazine Luiza S.A.</x:v>
      </x:c>
      <x:c r="E1" s="3" t="str">
        <x:v>Análise Financeira — Magazine Luiza S.A.</x:v>
      </x:c>
      <x:c r="F1" s="3" t="str">
        <x:v>Análise Financeira — Magazine Luiza S.A.</x:v>
      </x:c>
      <x:c r="G1" s="3" t="str">
        <x:v>Análise Financeira — Magazine Luiza S.A.</x:v>
      </x:c>
      <x:c r="H1" s="3" t="str">
        <x:v>Análise Financeira — Magazine Luiza S.A.</x:v>
      </x:c>
      <x:c r="I1" s="3" t="str">
        <x:v>Análise Financeira — Magazine Luiza S.A.</x:v>
      </x:c>
      <x:c r="J1" s="3" t="str">
        <x:v>Análise Financeira — Magazine Luiza S.A.</x:v>
      </x:c>
      <x:c r="K1" s="3" t="str">
        <x:v>Análise Financeira — Magazine Luiza S.A.</x:v>
      </x:c>
      <x:c r="L1" s="3" t="str">
        <x:v>Análise Financeira — Magazine Luiza S.A.</x:v>
      </x:c>
      <x:c r="M1" s="3" t="str">
        <x:v>Análise Financeira — Magazine Luiza S.A.</x:v>
      </x:c>
      <x:c r="N1" s="3" t="str">
        <x:v>Análise Financeira — Magazine Luiza S.A.</x:v>
      </x:c>
    </x:row>
    <x:row r="2" ht="22" customHeight="1">
      <x:c r="A2" s="3" t="str">
        <x:v>Análise Financeira — Magazine Luiza S.A.</x:v>
      </x:c>
      <x:c r="B2" s="3" t="str">
        <x:v>Análise Financeira — Magazine Luiza S.A.</x:v>
      </x:c>
      <x:c r="C2" s="3" t="str">
        <x:v>Análise Financeira — Magazine Luiza S.A.</x:v>
      </x:c>
      <x:c r="D2" s="3" t="str">
        <x:v>Análise Financeira — Magazine Luiza S.A.</x:v>
      </x:c>
      <x:c r="E2" s="3" t="str">
        <x:v>Análise Financeira — Magazine Luiza S.A.</x:v>
      </x:c>
      <x:c r="F2" s="3" t="str">
        <x:v>Análise Financeira — Magazine Luiza S.A.</x:v>
      </x:c>
      <x:c r="G2" s="3" t="str">
        <x:v>Análise Financeira — Magazine Luiza S.A.</x:v>
      </x:c>
      <x:c r="H2" s="3" t="str">
        <x:v>Análise Financeira — Magazine Luiza S.A.</x:v>
      </x:c>
      <x:c r="I2" s="3" t="str">
        <x:v>Análise Financeira — Magazine Luiza S.A.</x:v>
      </x:c>
      <x:c r="J2" s="3" t="str">
        <x:v>Análise Financeira — Magazine Luiza S.A.</x:v>
      </x:c>
      <x:c r="K2" s="3" t="str">
        <x:v>Análise Financeira — Magazine Luiza S.A.</x:v>
      </x:c>
      <x:c r="L2" s="3" t="str">
        <x:v>Análise Financeira — Magazine Luiza S.A.</x:v>
      </x:c>
      <x:c r="M2" s="3" t="str">
        <x:v>Análise Financeira — Magazine Luiza S.A.</x:v>
      </x:c>
      <x:c r="N2" s="3" t="str">
        <x:v>Análise Financeira — Magazine Luiza S.A.</x:v>
      </x:c>
    </x:row>
    <x:row r="3" ht="22" customHeight="1">
      <x:c r="A3" s="6" t="str">
        <x:v>Planilha de apoio e auditoria do projeto Power BI | DFP consolidada 2021–2025</x:v>
      </x:c>
      <x:c r="B3" s="6" t="str">
        <x:v>Planilha de apoio e auditoria do projeto Power BI | DFP consolidada 2021–2025</x:v>
      </x:c>
      <x:c r="C3" s="6" t="str">
        <x:v>Planilha de apoio e auditoria do projeto Power BI | DFP consolidada 2021–2025</x:v>
      </x:c>
      <x:c r="D3" s="6" t="str">
        <x:v>Planilha de apoio e auditoria do projeto Power BI | DFP consolidada 2021–2025</x:v>
      </x:c>
      <x:c r="E3" s="6" t="str">
        <x:v>Planilha de apoio e auditoria do projeto Power BI | DFP consolidada 2021–2025</x:v>
      </x:c>
      <x:c r="F3" s="6" t="str">
        <x:v>Planilha de apoio e auditoria do projeto Power BI | DFP consolidada 2021–2025</x:v>
      </x:c>
      <x:c r="G3" s="6" t="str">
        <x:v>Planilha de apoio e auditoria do projeto Power BI | DFP consolidada 2021–2025</x:v>
      </x:c>
      <x:c r="H3" s="6" t="str">
        <x:v>Planilha de apoio e auditoria do projeto Power BI | DFP consolidada 2021–2025</x:v>
      </x:c>
      <x:c r="I3" s="6" t="str">
        <x:v>Planilha de apoio e auditoria do projeto Power BI | DFP consolidada 2021–2025</x:v>
      </x:c>
      <x:c r="J3" s="6" t="str">
        <x:v>Planilha de apoio e auditoria do projeto Power BI | DFP consolidada 2021–2025</x:v>
      </x:c>
      <x:c r="K3" s="6" t="str">
        <x:v>Planilha de apoio e auditoria do projeto Power BI | DFP consolidada 2021–2025</x:v>
      </x:c>
      <x:c r="L3" s="6" t="str">
        <x:v>Planilha de apoio e auditoria do projeto Power BI | DFP consolidada 2021–2025</x:v>
      </x:c>
      <x:c r="M3" s="6" t="str">
        <x:v>Planilha de apoio e auditoria do projeto Power BI | DFP consolidada 2021–2025</x:v>
      </x:c>
      <x:c r="N3" s="6" t="str">
        <x:v>Planilha de apoio e auditoria do projeto Power BI | DFP consolidada 2021–2025</x:v>
      </x:c>
    </x:row>
    <x:row r="4" ht="22" customHeight="1"/>
    <x:row r="5" ht="22" customHeight="1">
      <x:c r="A5" s="12" t="str">
        <x:v>Objetivo</x:v>
      </x:c>
      <x:c r="B5" s="16" t="str">
        <x:v>Analisar resultado, caixa, liquidez e endividamento com dados públicos da CVM.</x:v>
      </x:c>
    </x:row>
    <x:row r="6" ht="22" customHeight="1">
      <x:c r="A6" s="12" t="str">
        <x:v>Empresa</x:v>
      </x:c>
      <x:c r="B6" s="16" t="str">
        <x:v>MAGAZINE LUIZA S.A.</x:v>
      </x:c>
    </x:row>
    <x:row r="7" ht="22" customHeight="1">
      <x:c r="A7" s="12" t="str">
        <x:v>CNPJ</x:v>
      </x:c>
      <x:c r="B7" s="16" t="str">
        <x:v>47.960.950/0001-21</x:v>
      </x:c>
    </x:row>
    <x:row r="8" ht="22" customHeight="1">
      <x:c r="A8" s="12" t="str">
        <x:v>Período</x:v>
      </x:c>
      <x:c r="B8" s="16" t="str">
        <x:v>2021 a 2025</x:v>
      </x:c>
    </x:row>
    <x:row r="9" ht="22" customHeight="1">
      <x:c r="A9" s="12" t="str">
        <x:v>Critério</x:v>
      </x:c>
      <x:c r="B9" s="16" t="str">
        <x:v>Consolidado; ORDEM_EXERC=ÚLTIMO; maior versão da DFP por ano.</x:v>
      </x:c>
    </x:row>
    <x:row r="10" ht="22" customHeight="1">
      <x:c r="A10" s="12" t="str">
        <x:v>Escala</x:v>
      </x:c>
      <x:c r="B10" s="16" t="str">
        <x:v>Base original em R$ mil; modelo e dashboard em R$ milhões.</x:v>
      </x:c>
    </x:row>
    <x:row r="11" ht="22" customHeight="1">
      <x:c r="A11" s="12" t="str">
        <x:v>Autor</x:v>
      </x:c>
      <x:c r="B11" s="16" t="str">
        <x:v>Gabriel Oriuti Ferraz</x:v>
      </x:c>
    </x:row>
    <x:row r="12" ht="22" customHeight="1">
      <x:c r="A12" s="12" t="str">
        <x:v>Contato</x:v>
      </x:c>
      <x:c r="B12" s="16" t="str">
        <x:v>gabriel.oriuti@live.com | linkedin.com/in/gabriel-oriuti</x:v>
      </x:c>
    </x:row>
    <x:row r="13" ht="22" customHeight="1"/>
    <x:row r="14" ht="22" customHeight="1">
      <x:c r="A14" s="36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B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C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D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E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F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G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H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I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J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K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L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M14" s="37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N14" s="38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</x:row>
    <x:row r="15" ht="22" customHeight="1">
      <x:c r="A15" s="39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B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C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D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E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F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G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H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I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J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K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L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M15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N15" s="41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</x:row>
    <x:row r="16" ht="22" customHeight="1">
      <x:c r="A16" s="39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B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C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D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E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F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G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H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I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J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K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L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M16" s="40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N16" s="41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</x:row>
    <x:row r="17" ht="22" customHeight="1">
      <x:c r="A17" s="42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B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C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D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E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F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G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H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I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J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K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L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M17" s="43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  <x:c r="N17" s="44" t="str">
        <x:v>Aviso: este estudo utiliza dados financeiros reais e públicos obtidos no Portal de Dados Abertos da CVM. O tratamento, os indicadores, as visualizações e as conclusões foram desenvolvidos pelo autor para fins educacionais e de portfólio. Não há vínculo com a Magazine Luiza ou com a CVM, e o conteúdo não constitui recomendação de investimento.</x:v>
      </x:c>
    </x:row>
    <x:row r="18" ht="22" customHeight="1"/>
    <x:row r="19" ht="22" customHeight="1">
      <x:c r="A19" s="64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B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C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D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E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F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G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H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I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J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K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L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M19" s="65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N19" s="66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</x:row>
    <x:row r="20" ht="22" customHeight="1">
      <x:c r="A20" s="67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B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C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D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E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F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G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H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I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J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K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L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M20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N20" s="69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</x:row>
    <x:row r="21" ht="22" customHeight="1">
      <x:c r="A21" s="67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B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C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D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E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F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G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H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I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J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K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L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M21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N21" s="69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</x:row>
    <x:row r="22" ht="22" customHeight="1">
      <x:c r="A22" s="67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B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C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D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E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F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G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H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I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J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K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L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M22" s="68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N22" s="69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</x:row>
    <x:row r="23" ht="22" customHeight="1">
      <x:c r="A23" s="70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B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C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D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E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F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G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H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I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J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K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L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M23" s="71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  <x:c r="N23" s="72" t="str">
        <x:v>Como usar: consulte o DASHBOARD para a visão executiva; a aba INDICADORES contém dados reportados e cálculos por fórmula; CHECKS reúne os testes de qualidade; DICIONARIO documenta contas e regras; FONTES registra links, versões e hashes dos arquivos anuais.</x:v>
      </x:c>
    </x:row>
  </x:sheetData>
  <x:mergeCells>
    <x:mergeCell ref="A1:N2"/>
    <x:mergeCell ref="A3:N3"/>
    <x:mergeCell ref="A14:N17"/>
    <x:mergeCell ref="A19:N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2" customHeight="1">
      <x:c r="A1" s="3" t="str">
        <x:v>Dashboard Financeiro — Magazine Luiza S.A.</x:v>
      </x:c>
      <x:c r="B1" s="3" t="str">
        <x:v>Dashboard Financeiro — Magazine Luiza S.A.</x:v>
      </x:c>
      <x:c r="C1" s="3" t="str">
        <x:v>Dashboard Financeiro — Magazine Luiza S.A.</x:v>
      </x:c>
      <x:c r="D1" s="3" t="str">
        <x:v>Dashboard Financeiro — Magazine Luiza S.A.</x:v>
      </x:c>
      <x:c r="E1" s="3" t="str">
        <x:v>Dashboard Financeiro — Magazine Luiza S.A.</x:v>
      </x:c>
      <x:c r="F1" s="3" t="str">
        <x:v>Dashboard Financeiro — Magazine Luiza S.A.</x:v>
      </x:c>
      <x:c r="G1" s="3" t="str">
        <x:v>Dashboard Financeiro — Magazine Luiza S.A.</x:v>
      </x:c>
      <x:c r="H1" s="3" t="str">
        <x:v>Dashboard Financeiro — Magazine Luiza S.A.</x:v>
      </x:c>
      <x:c r="I1" s="3" t="str">
        <x:v>Dashboard Financeiro — Magazine Luiza S.A.</x:v>
      </x:c>
      <x:c r="J1" s="3" t="str">
        <x:v>Dashboard Financeiro — Magazine Luiza S.A.</x:v>
      </x:c>
      <x:c r="K1" s="3" t="str">
        <x:v>Dashboard Financeiro — Magazine Luiza S.A.</x:v>
      </x:c>
      <x:c r="L1" s="3" t="str">
        <x:v>Dashboard Financeiro — Magazine Luiza S.A.</x:v>
      </x:c>
      <x:c r="M1" s="3" t="str">
        <x:v>Dashboard Financeiro — Magazine Luiza S.A.</x:v>
      </x:c>
    </x:row>
    <x:row r="2" ht="22" customHeight="1">
      <x:c r="A2" s="3" t="str">
        <x:v>Dashboard Financeiro — Magazine Luiza S.A.</x:v>
      </x:c>
      <x:c r="B2" s="3" t="str">
        <x:v>Dashboard Financeiro — Magazine Luiza S.A.</x:v>
      </x:c>
      <x:c r="C2" s="3" t="str">
        <x:v>Dashboard Financeiro — Magazine Luiza S.A.</x:v>
      </x:c>
      <x:c r="D2" s="3" t="str">
        <x:v>Dashboard Financeiro — Magazine Luiza S.A.</x:v>
      </x:c>
      <x:c r="E2" s="3" t="str">
        <x:v>Dashboard Financeiro — Magazine Luiza S.A.</x:v>
      </x:c>
      <x:c r="F2" s="3" t="str">
        <x:v>Dashboard Financeiro — Magazine Luiza S.A.</x:v>
      </x:c>
      <x:c r="G2" s="3" t="str">
        <x:v>Dashboard Financeiro — Magazine Luiza S.A.</x:v>
      </x:c>
      <x:c r="H2" s="3" t="str">
        <x:v>Dashboard Financeiro — Magazine Luiza S.A.</x:v>
      </x:c>
      <x:c r="I2" s="3" t="str">
        <x:v>Dashboard Financeiro — Magazine Luiza S.A.</x:v>
      </x:c>
      <x:c r="J2" s="3" t="str">
        <x:v>Dashboard Financeiro — Magazine Luiza S.A.</x:v>
      </x:c>
      <x:c r="K2" s="3" t="str">
        <x:v>Dashboard Financeiro — Magazine Luiza S.A.</x:v>
      </x:c>
      <x:c r="L2" s="3" t="str">
        <x:v>Dashboard Financeiro — Magazine Luiza S.A.</x:v>
      </x:c>
      <x:c r="M2" s="3" t="str">
        <x:v>Dashboard Financeiro — Magazine Luiza S.A.</x:v>
      </x:c>
    </x:row>
    <x:row r="3" ht="22" customHeight="1">
      <x:c r="A3" s="6" t="str">
        <x:v>Visão executiva | DFP consolidada 2021–2025 | valores em R$ milhões</x:v>
      </x:c>
      <x:c r="B3" s="6" t="str">
        <x:v>Visão executiva | DFP consolidada 2021–2025 | valores em R$ milhões</x:v>
      </x:c>
      <x:c r="C3" s="6" t="str">
        <x:v>Visão executiva | DFP consolidada 2021–2025 | valores em R$ milhões</x:v>
      </x:c>
      <x:c r="D3" s="6" t="str">
        <x:v>Visão executiva | DFP consolidada 2021–2025 | valores em R$ milhões</x:v>
      </x:c>
      <x:c r="E3" s="6" t="str">
        <x:v>Visão executiva | DFP consolidada 2021–2025 | valores em R$ milhões</x:v>
      </x:c>
      <x:c r="F3" s="6" t="str">
        <x:v>Visão executiva | DFP consolidada 2021–2025 | valores em R$ milhões</x:v>
      </x:c>
      <x:c r="G3" s="6" t="str">
        <x:v>Visão executiva | DFP consolidada 2021–2025 | valores em R$ milhões</x:v>
      </x:c>
      <x:c r="H3" s="6" t="str">
        <x:v>Visão executiva | DFP consolidada 2021–2025 | valores em R$ milhões</x:v>
      </x:c>
      <x:c r="I3" s="6" t="str">
        <x:v>Visão executiva | DFP consolidada 2021–2025 | valores em R$ milhões</x:v>
      </x:c>
      <x:c r="J3" s="6" t="str">
        <x:v>Visão executiva | DFP consolidada 2021–2025 | valores em R$ milhões</x:v>
      </x:c>
      <x:c r="K3" s="6" t="str">
        <x:v>Visão executiva | DFP consolidada 2021–2025 | valores em R$ milhões</x:v>
      </x:c>
      <x:c r="L3" s="6" t="str">
        <x:v>Visão executiva | DFP consolidada 2021–2025 | valores em R$ milhões</x:v>
      </x:c>
      <x:c r="M3" s="6" t="str">
        <x:v>Visão executiva | DFP consolidada 2021–2025 | valores em R$ milhões</x:v>
      </x:c>
      <x:c r="N3" s="6" t="str">
        <x:v>Visão executiva | DFP consolidada 2021–2025 | valores em R$ milhões</x:v>
      </x:c>
    </x:row>
    <x:row r="4" ht="22" customHeight="1"/>
    <x:row r="5" ht="22" customHeight="1">
      <x:c r="A5" s="132" t="str">
        <x:v>RECEITA 2025</x:v>
      </x:c>
      <x:c r="B5" s="133" t="str">
        <x:v>RECEITA 2025</x:v>
      </x:c>
      <x:c r="C5" s="134" t="str">
        <x:v>RECEITA 2025</x:v>
      </x:c>
      <x:c r="D5" s="159" t="str">
        <x:v>RESULTADO OPERACIONAL</x:v>
      </x:c>
      <x:c r="E5" s="160" t="str">
        <x:v>RESULTADO OPERACIONAL</x:v>
      </x:c>
      <x:c r="F5" s="161" t="str">
        <x:v>RESULTADO OPERACIONAL</x:v>
      </x:c>
      <x:c r="G5" s="177" t="str">
        <x:v>LUCRO LÍQUIDO</x:v>
      </x:c>
      <x:c r="H5" s="178" t="str">
        <x:v>LUCRO LÍQUIDO</x:v>
      </x:c>
      <x:c r="I5" s="179" t="str">
        <x:v>LUCRO LÍQUIDO</x:v>
      </x:c>
      <x:c r="J5" s="195" t="str">
        <x:v>LIQUIDEZ CORRENTE</x:v>
      </x:c>
      <x:c r="K5" s="196" t="str">
        <x:v>LIQUIDEZ CORRENTE</x:v>
      </x:c>
      <x:c r="L5" s="196" t="str">
        <x:v>LIQUIDEZ CORRENTE</x:v>
      </x:c>
      <x:c r="M5" s="197" t="str">
        <x:v>LIQUIDEZ CORRENTE</x:v>
      </x:c>
    </x:row>
    <x:row r="6" ht="22" customHeight="1">
      <x:c r="A6" s="141" t="n">
        <x:f>INDICADORES!B6</x:f>
        <x:v>38703.387</x:v>
      </x:c>
      <x:c r="B6" s="142"/>
      <x:c r="C6" s="143"/>
      <x:c r="D6" s="141" t="n">
        <x:f>INDICADORES!F6</x:f>
        <x:v>1918.683</x:v>
      </x:c>
      <x:c r="E6" s="142"/>
      <x:c r="F6" s="143"/>
      <x:c r="G6" s="141" t="n">
        <x:f>INDICADORES!H6</x:f>
        <x:v>204.603</x:v>
      </x:c>
      <x:c r="H6" s="142"/>
      <x:c r="I6" s="143"/>
      <x:c r="J6" s="201" t="n">
        <x:f>INDICADORES!AF6</x:f>
        <x:v>1.1545884976085377</x:v>
      </x:c>
      <x:c r="K6" s="202"/>
      <x:c r="L6" s="202"/>
      <x:c r="M6" s="203"/>
    </x:row>
    <x:row r="7" ht="22" customHeight="1">
      <x:c r="A7" s="141"/>
      <x:c r="B7" s="142"/>
      <x:c r="C7" s="143"/>
      <x:c r="D7" s="141"/>
      <x:c r="E7" s="142"/>
      <x:c r="F7" s="143"/>
      <x:c r="G7" s="141"/>
      <x:c r="H7" s="142"/>
      <x:c r="I7" s="143"/>
      <x:c r="J7" s="201"/>
      <x:c r="K7" s="202"/>
      <x:c r="L7" s="202"/>
      <x:c r="M7" s="203"/>
    </x:row>
    <x:row r="8" ht="22" customHeight="1">
      <x:c r="A8" s="150" t="n">
        <x:f>INDICADORES!AI6</x:f>
        <x:v>0.01749087256482129</x:v>
      </x:c>
      <x:c r="B8" s="151"/>
      <x:c r="C8" s="152"/>
      <x:c r="D8" s="168" t="n">
        <x:f>INDICADORES!AD6</x:f>
        <x:v>0.04957403340436329</x:v>
      </x:c>
      <x:c r="E8" s="169"/>
      <x:c r="F8" s="170"/>
      <x:c r="G8" s="186" t="n">
        <x:f>INDICADORES!AE6</x:f>
        <x:v>0.0052864365591569545</x:v>
      </x:c>
      <x:c r="H8" s="187"/>
      <x:c r="I8" s="188"/>
      <x:c r="J8" s="210" t="str">
        <x:f>"Último exercício disponível"</x:f>
        <x:v>Último exercício disponível</x:v>
      </x:c>
      <x:c r="K8" s="211"/>
      <x:c r="L8" s="211"/>
      <x:c r="M8" s="212"/>
    </x:row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>
      <x:c r="I27" s="230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27" s="231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27" s="231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27" s="231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27" s="232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28" ht="22" customHeight="1">
      <x:c r="I28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2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2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2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28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29" ht="22" customHeight="1">
      <x:c r="I29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2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2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2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29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0" ht="22" customHeight="1">
      <x:c r="I30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0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1" ht="22" customHeight="1">
      <x:c r="I31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1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2" ht="22" customHeight="1">
      <x:c r="I32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2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3" ht="22" customHeight="1">
      <x:c r="I33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3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3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3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3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4" ht="22" customHeight="1">
      <x:c r="I34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4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4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4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4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5" ht="22" customHeight="1">
      <x:c r="I35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5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5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5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5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6" ht="22" customHeight="1">
      <x:c r="I36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6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6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6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6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7" ht="22" customHeight="1">
      <x:c r="I37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7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7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7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7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8" ht="22" customHeight="1">
      <x:c r="I38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8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8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39" ht="22" customHeight="1">
      <x:c r="I39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3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3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39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39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40" ht="22" customHeight="1">
      <x:c r="I40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4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4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40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40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41" ht="22" customHeight="1">
      <x:c r="I41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4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4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41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41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42" ht="22" customHeight="1">
      <x:c r="I42" s="233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4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4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42" s="234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42" s="235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  <x:row r="43" ht="22" customHeight="1">
      <x:c r="I43" s="236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J43" s="237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K43" s="237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L43" s="237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  <x:c r="M43" s="238" t="str">
        <x:v>PRINCIPAIS LEITURAS
• Receita cresceu 1,7% em 2025.
• Margem operacional alcançou 5,0%.
• Margem líquida encerrou em 0,5%.
• Caixa recuou 13,8% no ano.
• A DFC de 2024–2025 exige leitura conjunta das variações de capital de giro.
Fonte: CVM (DFP). Estudo independente; não constitui recomendação de investimento.</x:v>
      </x:c>
    </x:row>
  </x:sheetData>
  <x:mergeCells>
    <x:mergeCell ref="A1:M2"/>
    <x:mergeCell ref="A3:N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M5"/>
    <x:mergeCell ref="J6:M7"/>
    <x:mergeCell ref="J8:M8"/>
    <x:mergeCell ref="I27:M43"/>
  </x:mergeCells>
  <x:pageMargins left="0.7" right="0.7" top="0.75" bottom="0.75" header="0.3" footer="0.3"/>
  <x:drawing xmlns:r="http://schemas.openxmlformats.org/officeDocument/2006/relationships" r:id="Ra9adda0920b347e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2" t="str">
        <x:v>Ano</x:v>
      </x:c>
      <x:c r="B1" s="12" t="str">
        <x:v>Receita</x:v>
      </x:c>
      <x:c r="C1" s="12" t="str">
        <x:v>Lucro Bruto</x:v>
      </x:c>
      <x:c r="E1" s="12" t="str">
        <x:v>Ano</x:v>
      </x:c>
      <x:c r="F1" s="12" t="str">
        <x:v>Margem Bruta</x:v>
      </x:c>
      <x:c r="G1" s="12" t="str">
        <x:v>Margem Operacional</x:v>
      </x:c>
      <x:c r="H1" s="12" t="str">
        <x:v>Margem Líquida</x:v>
      </x:c>
      <x:c r="J1" s="12" t="str">
        <x:v>Ano</x:v>
      </x:c>
      <x:c r="K1" s="12" t="str">
        <x:v>FCO</x:v>
      </x:c>
      <x:c r="L1" s="12" t="str">
        <x:v>FCI</x:v>
      </x:c>
      <x:c r="M1" s="12" t="str">
        <x:v>FCF</x:v>
      </x:c>
    </x:row>
    <x:row r="2">
      <x:c r="A2" s="16" t="n">
        <x:v>2021</x:v>
      </x:c>
      <x:c r="B2" s="73" t="n">
        <x:v>35278.15</x:v>
      </x:c>
      <x:c r="C2" s="73" t="n">
        <x:v>8486.805</x:v>
      </x:c>
      <x:c r="E2" s="16" t="n">
        <x:f>INDICADORES!A2</x:f>
        <x:v>2021</x:v>
      </x:c>
      <x:c r="F2" s="74" t="n">
        <x:f>INDICADORES!AC2</x:f>
        <x:v>0.2405683121138722</x:v>
      </x:c>
      <x:c r="G2" s="74" t="n">
        <x:f>INDICADORES!AD2</x:f>
        <x:v>0.013339758462391025</x:v>
      </x:c>
      <x:c r="H2" s="74" t="n">
        <x:f>INDICADORES!AE2</x:f>
        <x:v>0.016742969798586374</x:v>
      </x:c>
      <x:c r="J2" s="16" t="n">
        <x:f>INDICADORES!A2</x:f>
        <x:v>2021</x:v>
      </x:c>
      <x:c r="K2" s="73" t="n">
        <x:f>INDICADORES!S2</x:f>
        <x:v>-4364.476</x:v>
      </x:c>
      <x:c r="L2" s="73" t="n">
        <x:f>INDICADORES!T2</x:f>
        <x:v>-1317.403</x:v>
      </x:c>
      <x:c r="M2" s="73" t="n">
        <x:f>INDICADORES!U2</x:f>
        <x:v>6566.721</x:v>
      </x:c>
    </x:row>
    <x:row r="3">
      <x:c r="A3" s="16" t="n">
        <x:v>2022</x:v>
      </x:c>
      <x:c r="B3" s="73" t="n">
        <x:v>37299.002</x:v>
      </x:c>
      <x:c r="C3" s="73" t="n">
        <x:v>10438.896</x:v>
      </x:c>
      <x:c r="E3" s="16" t="n">
        <x:f>INDICADORES!A3</x:f>
        <x:v>2022</x:v>
      </x:c>
      <x:c r="F3" s="74" t="n">
        <x:f>INDICADORES!AC3</x:f>
        <x:v>0.27987065176703657</x:v>
      </x:c>
      <x:c r="G3" s="74" t="n">
        <x:f>INDICADORES!AD3</x:f>
        <x:v>0.0206878189394987</x:v>
      </x:c>
      <x:c r="H3" s="74" t="n">
        <x:f>INDICADORES!AE3</x:f>
        <x:v>-0.01337770377877671</x:v>
      </x:c>
      <x:c r="J3" s="16" t="n">
        <x:f>INDICADORES!A3</x:f>
        <x:v>2022</x:v>
      </x:c>
      <x:c r="K3" s="73" t="n">
        <x:f>INDICADORES!S3</x:f>
        <x:v>3064.122</x:v>
      </x:c>
      <x:c r="L3" s="73" t="n">
        <x:f>INDICADORES!T3</x:f>
        <x:v>-1043.558</x:v>
      </x:c>
      <x:c r="M3" s="73" t="n">
        <x:f>INDICADORES!U3</x:f>
        <x:v>-2166.737</x:v>
      </x:c>
    </x:row>
    <x:row r="4">
      <x:c r="A4" s="16" t="n">
        <x:v>2023</x:v>
      </x:c>
      <x:c r="B4" s="73" t="n">
        <x:v>36768.149</x:v>
      </x:c>
      <x:c r="C4" s="73" t="n">
        <x:v>10163.883</x:v>
      </x:c>
      <x:c r="E4" s="16" t="n">
        <x:f>INDICADORES!A4</x:f>
        <x:v>2023</x:v>
      </x:c>
      <x:c r="F4" s="74" t="n">
        <x:f>INDICADORES!AC4</x:f>
        <x:v>0.27643172899457086</x:v>
      </x:c>
      <x:c r="G4" s="74" t="n">
        <x:f>INDICADORES!AD4</x:f>
        <x:v>-0.010121477695273702</x:v>
      </x:c>
      <x:c r="H4" s="74" t="n">
        <x:f>INDICADORES!AE4</x:f>
        <x:v>-0.02662913490695439</x:v>
      </x:c>
      <x:c r="J4" s="16" t="n">
        <x:f>INDICADORES!A4</x:f>
        <x:v>2023</x:v>
      </x:c>
      <x:c r="K4" s="73" t="n">
        <x:f>INDICADORES!S4</x:f>
        <x:v>3354.622</x:v>
      </x:c>
      <x:c r="L4" s="73" t="n">
        <x:f>INDICADORES!T4</x:f>
        <x:v>-148.4</x:v>
      </x:c>
      <x:c r="M4" s="73" t="n">
        <x:f>INDICADORES!U4</x:f>
        <x:v>-3032.921</x:v>
      </x:c>
    </x:row>
    <x:row r="5">
      <x:c r="A5" s="16" t="n">
        <x:v>2024</x:v>
      </x:c>
      <x:c r="B5" s="73" t="n">
        <x:v>38038.068</x:v>
      </x:c>
      <x:c r="C5" s="73" t="n">
        <x:v>11627.256</x:v>
      </x:c>
      <x:c r="E5" s="16" t="n">
        <x:f>INDICADORES!A5</x:f>
        <x:v>2024</x:v>
      </x:c>
      <x:c r="F5" s="74" t="n">
        <x:f>INDICADORES!AC5</x:f>
        <x:v>0.30567419985683814</x:v>
      </x:c>
      <x:c r="G5" s="74" t="n">
        <x:f>INDICADORES!AD5</x:f>
        <x:v>0.04107548259285934</x:v>
      </x:c>
      <x:c r="H5" s="74" t="n">
        <x:f>INDICADORES!AE5</x:f>
        <x:v>0.01179652447122183</x:v>
      </x:c>
      <x:c r="J5" s="16" t="n">
        <x:f>INDICADORES!A5</x:f>
        <x:v>2024</x:v>
      </x:c>
      <x:c r="K5" s="73" t="n">
        <x:f>INDICADORES!S5</x:f>
        <x:v>15835.331</x:v>
      </x:c>
      <x:c r="L5" s="73" t="n">
        <x:f>INDICADORES!T5</x:f>
        <x:v>-1290.606</x:v>
      </x:c>
      <x:c r="M5" s="73" t="n">
        <x:f>INDICADORES!U5</x:f>
        <x:v>-15310.874</x:v>
      </x:c>
    </x:row>
    <x:row r="6">
      <x:c r="A6" s="16" t="n">
        <x:v>2025</x:v>
      </x:c>
      <x:c r="B6" s="73" t="n">
        <x:v>38703.387</x:v>
      </x:c>
      <x:c r="C6" s="73" t="n">
        <x:v>11554.551</x:v>
      </x:c>
      <x:c r="E6" s="16" t="n">
        <x:f>INDICADORES!A6</x:f>
        <x:v>2025</x:v>
      </x:c>
      <x:c r="F6" s="74" t="n">
        <x:f>INDICADORES!AC6</x:f>
        <x:v>0.29854108117204314</x:v>
      </x:c>
      <x:c r="G6" s="74" t="n">
        <x:f>INDICADORES!AD6</x:f>
        <x:v>0.04957403340436329</x:v>
      </x:c>
      <x:c r="H6" s="74" t="n">
        <x:f>INDICADORES!AE6</x:f>
        <x:v>0.0052864365591569545</x:v>
      </x:c>
      <x:c r="J6" s="16" t="n">
        <x:f>INDICADORES!A6</x:f>
        <x:v>2025</x:v>
      </x:c>
      <x:c r="K6" s="73" t="n">
        <x:f>INDICADORES!S6</x:f>
        <x:v>15719.373</x:v>
      </x:c>
      <x:c r="L6" s="73" t="n">
        <x:f>INDICADORES!T6</x:f>
        <x:v>-1000.816</x:v>
      </x:c>
      <x:c r="M6" s="73" t="n">
        <x:f>INDICADORES!U6</x:f>
        <x:v>-14969.917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 ht="24" customHeight="1">
      <x:c r="A1" s="12" t="str">
        <x:v>Ano</x:v>
      </x:c>
      <x:c r="B1" s="12" t="str">
        <x:v>Receita</x:v>
      </x:c>
      <x:c r="C1" s="12" t="str">
        <x:v>Custos</x:v>
      </x:c>
      <x:c r="D1" s="12" t="str">
        <x:v>Lucro Bruto</x:v>
      </x:c>
      <x:c r="E1" s="12" t="str">
        <x:v>Despesas Operacionais</x:v>
      </x:c>
      <x:c r="F1" s="12" t="str">
        <x:v>Resultado Operacional</x:v>
      </x:c>
      <x:c r="G1" s="12" t="str">
        <x:v>Resultado Financeiro</x:v>
      </x:c>
      <x:c r="H1" s="12" t="str">
        <x:v>Lucro Líquido</x:v>
      </x:c>
      <x:c r="I1" s="12" t="str">
        <x:v>Ativo Total</x:v>
      </x:c>
      <x:c r="J1" s="12" t="str">
        <x:v>Ativo Circulante</x:v>
      </x:c>
      <x:c r="K1" s="12" t="str">
        <x:v>Caixa</x:v>
      </x:c>
      <x:c r="L1" s="12" t="str">
        <x:v>Contas a Receber</x:v>
      </x:c>
      <x:c r="M1" s="12" t="str">
        <x:v>Estoques</x:v>
      </x:c>
      <x:c r="N1" s="12" t="str">
        <x:v>Passivo Total</x:v>
      </x:c>
      <x:c r="O1" s="12" t="str">
        <x:v>Passivo Circulante</x:v>
      </x:c>
      <x:c r="P1" s="12" t="str">
        <x:v>Dívida CP</x:v>
      </x:c>
      <x:c r="Q1" s="12" t="str">
        <x:v>Dívida LP</x:v>
      </x:c>
      <x:c r="R1" s="12" t="str">
        <x:v>Patrimônio Líquido</x:v>
      </x:c>
      <x:c r="S1" s="12" t="str">
        <x:v>FCO</x:v>
      </x:c>
      <x:c r="T1" s="12" t="str">
        <x:v>FCI</x:v>
      </x:c>
      <x:c r="U1" s="12" t="str">
        <x:v>FCF</x:v>
      </x:c>
      <x:c r="V1" s="12" t="str">
        <x:v>Variação de Caixa</x:v>
      </x:c>
      <x:c r="W1" s="12" t="str">
        <x:v>Capex Imobilizado</x:v>
      </x:c>
      <x:c r="X1" s="12" t="str">
        <x:v>Capex Intangível</x:v>
      </x:c>
      <x:c r="Y1" s="12" t="str">
        <x:v>Capex</x:v>
      </x:c>
      <x:c r="Z1" s="12" t="str">
        <x:v>Fluxo de Caixa Livre</x:v>
      </x:c>
      <x:c r="AA1" s="12" t="str">
        <x:v>Dívida Bruta</x:v>
      </x:c>
      <x:c r="AB1" s="12" t="str">
        <x:v>Dívida Líquida</x:v>
      </x:c>
      <x:c r="AC1" s="12" t="str">
        <x:v>Margem Bruta</x:v>
      </x:c>
      <x:c r="AD1" s="12" t="str">
        <x:v>Margem Operacional</x:v>
      </x:c>
      <x:c r="AE1" s="12" t="str">
        <x:v>Margem Líquida</x:v>
      </x:c>
      <x:c r="AF1" s="12" t="str">
        <x:v>Liquidez Corrente</x:v>
      </x:c>
      <x:c r="AG1" s="12" t="str">
        <x:v>ROA</x:v>
      </x:c>
      <x:c r="AH1" s="12" t="str">
        <x:v>ROE</x:v>
      </x:c>
      <x:c r="AI1" s="12" t="str">
        <x:v>Crescimento Receita</x:v>
      </x:c>
      <x:c r="AJ1" s="12" t="str">
        <x:v>Crescimento Lucro</x:v>
      </x:c>
    </x:row>
    <x:row r="2" ht="24" customHeight="1">
      <x:c r="A2" s="16" t="n">
        <x:v>2021</x:v>
      </x:c>
      <x:c r="B2" s="73" t="n">
        <x:v>35278.15</x:v>
      </x:c>
      <x:c r="C2" s="73" t="n">
        <x:v>-26791.345</x:v>
      </x:c>
      <x:c r="D2" s="73" t="n">
        <x:v>8486.805</x:v>
      </x:c>
      <x:c r="E2" s="73" t="n">
        <x:v>-8016.203</x:v>
      </x:c>
      <x:c r="F2" s="73" t="n">
        <x:v>470.602</x:v>
      </x:c>
      <x:c r="G2" s="73" t="n">
        <x:v>-689.011</x:v>
      </x:c>
      <x:c r="H2" s="73" t="n">
        <x:v>590.661</x:v>
      </x:c>
      <x:c r="I2" s="73" t="n">
        <x:v>38384.616</x:v>
      </x:c>
      <x:c r="J2" s="73" t="n">
        <x:v>24509.81</x:v>
      </x:c>
      <x:c r="K2" s="73" t="n">
        <x:v>2566.218</x:v>
      </x:c>
      <x:c r="L2" s="73" t="n">
        <x:v>5650.759</x:v>
      </x:c>
      <x:c r="M2" s="73" t="n">
        <x:v>9112.214</x:v>
      </x:c>
      <x:c r="N2" s="73" t="n">
        <x:v>38384.616</x:v>
      </x:c>
      <x:c r="O2" s="73" t="n">
        <x:v>15257.189</x:v>
      </x:c>
      <x:c r="P2" s="73" t="n">
        <x:v>407.968</x:v>
      </x:c>
      <x:c r="Q2" s="73" t="n">
        <x:v>6384.904</x:v>
      </x:c>
      <x:c r="R2" s="73" t="n">
        <x:v>11261.231</x:v>
      </x:c>
      <x:c r="S2" s="73" t="n">
        <x:v>-4364.476</x:v>
      </x:c>
      <x:c r="T2" s="73" t="n">
        <x:v>-1317.403</x:v>
      </x:c>
      <x:c r="U2" s="73" t="n">
        <x:v>6566.721</x:v>
      </x:c>
      <x:c r="V2" s="73" t="n">
        <x:v>884.842</x:v>
      </x:c>
      <x:c r="W2" s="73" t="n">
        <x:v>-863.049</x:v>
      </x:c>
      <x:c r="X2" s="73" t="n">
        <x:v>-301.073</x:v>
      </x:c>
      <x:c r="Y2" s="73" t="n">
        <x:f>W2+X2</x:f>
        <x:v>-1164.1219999999998</x:v>
      </x:c>
      <x:c r="Z2" s="73" t="n">
        <x:f>S2+Y2</x:f>
        <x:v>-5528.598</x:v>
      </x:c>
      <x:c r="AA2" s="73" t="n">
        <x:f>P2+Q2</x:f>
        <x:v>6792.872</x:v>
      </x:c>
      <x:c r="AB2" s="73" t="n">
        <x:f>AA2-K2</x:f>
        <x:v>4226.654</x:v>
      </x:c>
      <x:c r="AC2" s="74" t="n">
        <x:f>IFERROR(D2/B2,0)</x:f>
        <x:v>0.2405683121138722</x:v>
      </x:c>
      <x:c r="AD2" s="74" t="n">
        <x:f>IFERROR(F2/B2,0)</x:f>
        <x:v>0.013339758462391025</x:v>
      </x:c>
      <x:c r="AE2" s="74" t="n">
        <x:f>IFERROR(H2/B2,0)</x:f>
        <x:v>0.016742969798586374</x:v>
      </x:c>
      <x:c r="AF2" s="75" t="n">
        <x:f>IFERROR(J2/O2,0)</x:f>
        <x:v>1.6064433625355234</x:v>
      </x:c>
      <x:c r="AG2" s="74" t="n">
        <x:f>IFERROR(H2/I2,0)</x:f>
        <x:v>0.015387961677146905</x:v>
      </x:c>
      <x:c r="AH2" s="74" t="n">
        <x:f>IFERROR(H2/R2,0)</x:f>
        <x:v>0.05245083774589119</x:v>
      </x:c>
      <x:c r="AI2" s="74"/>
      <x:c r="AJ2" s="74"/>
    </x:row>
    <x:row r="3" ht="24" customHeight="1">
      <x:c r="A3" s="16" t="n">
        <x:v>2022</x:v>
      </x:c>
      <x:c r="B3" s="73" t="n">
        <x:v>37299.002</x:v>
      </x:c>
      <x:c r="C3" s="73" t="n">
        <x:v>-26860.106</x:v>
      </x:c>
      <x:c r="D3" s="73" t="n">
        <x:v>10438.896</x:v>
      </x:c>
      <x:c r="E3" s="73" t="n">
        <x:v>-9667.261</x:v>
      </x:c>
      <x:c r="F3" s="73" t="n">
        <x:v>771.635</x:v>
      </x:c>
      <x:c r="G3" s="73" t="n">
        <x:v>-2041.033</x:v>
      </x:c>
      <x:c r="H3" s="73" t="n">
        <x:v>-498.975</x:v>
      </x:c>
      <x:c r="I3" s="73" t="n">
        <x:v>37765.845</x:v>
      </x:c>
      <x:c r="J3" s="73" t="n">
        <x:v>21938.136</x:v>
      </x:c>
      <x:c r="K3" s="73" t="n">
        <x:v>2420.045</x:v>
      </x:c>
      <x:c r="L3" s="73" t="n">
        <x:v>6760.27</x:v>
      </x:c>
      <x:c r="M3" s="73" t="n">
        <x:v>7790.069</x:v>
      </x:c>
      <x:c r="N3" s="73" t="n">
        <x:v>37765.845</x:v>
      </x:c>
      <x:c r="O3" s="73" t="n">
        <x:v>14832.925</x:v>
      </x:c>
      <x:c r="P3" s="73" t="n">
        <x:v>124.297</x:v>
      </x:c>
      <x:c r="Q3" s="73" t="n">
        <x:v>6984.46</x:v>
      </x:c>
      <x:c r="R3" s="73" t="n">
        <x:v>10648.701</x:v>
      </x:c>
      <x:c r="S3" s="73" t="n">
        <x:v>3064.122</x:v>
      </x:c>
      <x:c r="T3" s="73" t="n">
        <x:v>-1043.558</x:v>
      </x:c>
      <x:c r="U3" s="73" t="n">
        <x:v>-2166.737</x:v>
      </x:c>
      <x:c r="V3" s="73" t="n">
        <x:v>-146.173</x:v>
      </x:c>
      <x:c r="W3" s="73" t="n">
        <x:v>-265.129</x:v>
      </x:c>
      <x:c r="X3" s="73" t="n">
        <x:v>-430.282</x:v>
      </x:c>
      <x:c r="Y3" s="73" t="n">
        <x:f>W3+X3</x:f>
        <x:v>-695.4110000000001</x:v>
      </x:c>
      <x:c r="Z3" s="73" t="n">
        <x:f>S3+Y3</x:f>
        <x:v>2368.711</x:v>
      </x:c>
      <x:c r="AA3" s="73" t="n">
        <x:f>P3+Q3</x:f>
        <x:v>7108.757</x:v>
      </x:c>
      <x:c r="AB3" s="73" t="n">
        <x:f>AA3-K3</x:f>
        <x:v>4688.7119999999995</x:v>
      </x:c>
      <x:c r="AC3" s="74" t="n">
        <x:f>IFERROR(D3/B3,0)</x:f>
        <x:v>0.27987065176703657</x:v>
      </x:c>
      <x:c r="AD3" s="74" t="n">
        <x:f>IFERROR(F3/B3,0)</x:f>
        <x:v>0.0206878189394987</x:v>
      </x:c>
      <x:c r="AE3" s="74" t="n">
        <x:f>IFERROR(H3/B3,0)</x:f>
        <x:v>-0.01337770377877671</x:v>
      </x:c>
      <x:c r="AF3" s="75" t="n">
        <x:f>IFERROR(J3/O3,0)</x:f>
        <x:v>1.4790161751643724</x:v>
      </x:c>
      <x:c r="AG3" s="74" t="n">
        <x:f>IFERROR(H3/I3,0)</x:f>
        <x:v>-0.013212335113910467</x:v>
      </x:c>
      <x:c r="AH3" s="74" t="n">
        <x:f>IFERROR(H3/R3,0)</x:f>
        <x:v>-0.04685782801113488</x:v>
      </x:c>
      <x:c r="AI3" s="74" t="n">
        <x:f>IFERROR(B3/B2-1,0)</x:f>
        <x:v>0.057283389293372844</x:v>
      </x:c>
      <x:c r="AJ3" s="74" t="n">
        <x:f>IFERROR(H3/H2-1,0)</x:f>
        <x:v>-1.8447739058444692</x:v>
      </x:c>
    </x:row>
    <x:row r="4" ht="24" customHeight="1">
      <x:c r="A4" s="16" t="n">
        <x:v>2023</x:v>
      </x:c>
      <x:c r="B4" s="73" t="n">
        <x:v>36768.149</x:v>
      </x:c>
      <x:c r="C4" s="73" t="n">
        <x:v>-26604.266</x:v>
      </x:c>
      <x:c r="D4" s="73" t="n">
        <x:v>10163.883</x:v>
      </x:c>
      <x:c r="E4" s="73" t="n">
        <x:v>-10536.031</x:v>
      </x:c>
      <x:c r="F4" s="73" t="n">
        <x:v>-372.148</x:v>
      </x:c>
      <x:c r="G4" s="73" t="n">
        <x:v>-1692.219</x:v>
      </x:c>
      <x:c r="H4" s="73" t="n">
        <x:v>-979.104</x:v>
      </x:c>
      <x:c r="I4" s="73" t="n">
        <x:v>37455.067</x:v>
      </x:c>
      <x:c r="J4" s="73" t="n">
        <x:v>20221.163</x:v>
      </x:c>
      <x:c r="K4" s="73" t="n">
        <x:v>2593.346</x:v>
      </x:c>
      <x:c r="L4" s="73" t="n">
        <x:v>5885.45</x:v>
      </x:c>
      <x:c r="M4" s="73" t="n">
        <x:v>7497.299</x:v>
      </x:c>
      <x:c r="N4" s="73" t="n">
        <x:v>37455.067</x:v>
      </x:c>
      <x:c r="O4" s="73" t="n">
        <x:v>17408.127</x:v>
      </x:c>
      <x:c r="P4" s="73" t="n">
        <x:v>2954.347</x:v>
      </x:c>
      <x:c r="Q4" s="73" t="n">
        <x:v>4400.508</x:v>
      </x:c>
      <x:c r="R4" s="73" t="n">
        <x:v>9610.534</x:v>
      </x:c>
      <x:c r="S4" s="73" t="n">
        <x:v>3354.622</x:v>
      </x:c>
      <x:c r="T4" s="73" t="n">
        <x:v>-148.4</x:v>
      </x:c>
      <x:c r="U4" s="73" t="n">
        <x:v>-3032.921</x:v>
      </x:c>
      <x:c r="V4" s="73" t="n">
        <x:v>173.301</x:v>
      </x:c>
      <x:c r="W4" s="73" t="n">
        <x:v>-168.225</x:v>
      </x:c>
      <x:c r="X4" s="73" t="n">
        <x:v>-472.62</x:v>
      </x:c>
      <x:c r="Y4" s="73" t="n">
        <x:f>W4+X4</x:f>
        <x:v>-640.845</x:v>
      </x:c>
      <x:c r="Z4" s="73" t="n">
        <x:f>S4+Y4</x:f>
        <x:v>2713.777</x:v>
      </x:c>
      <x:c r="AA4" s="73" t="n">
        <x:f>P4+Q4</x:f>
        <x:v>7354.855</x:v>
      </x:c>
      <x:c r="AB4" s="73" t="n">
        <x:f>AA4-K4</x:f>
        <x:v>4761.509</x:v>
      </x:c>
      <x:c r="AC4" s="74" t="n">
        <x:f>IFERROR(D4/B4,0)</x:f>
        <x:v>0.27643172899457086</x:v>
      </x:c>
      <x:c r="AD4" s="74" t="n">
        <x:f>IFERROR(F4/B4,0)</x:f>
        <x:v>-0.010121477695273702</x:v>
      </x:c>
      <x:c r="AE4" s="74" t="n">
        <x:f>IFERROR(H4/B4,0)</x:f>
        <x:v>-0.02662913490695439</x:v>
      </x:c>
      <x:c r="AF4" s="75" t="n">
        <x:f>IFERROR(J4/O4,0)</x:f>
        <x:v>1.161593260435198</x:v>
      </x:c>
      <x:c r="AG4" s="74" t="n">
        <x:f>IFERROR(H4/I4,0)</x:f>
        <x:v>-0.026140762209823306</x:v>
      </x:c>
      <x:c r="AH4" s="74" t="n">
        <x:f>IFERROR(H4/R4,0)</x:f>
        <x:v>-0.1018782098892736</x:v>
      </x:c>
      <x:c r="AI4" s="74" t="n">
        <x:f>IFERROR(B4/B3-1,0)</x:f>
        <x:v>-0.014232364715817458</x:v>
      </x:c>
      <x:c r="AJ4" s="74" t="n">
        <x:f>IFERROR(H4/H3-1,0)</x:f>
        <x:v>0.9622305726739817</x:v>
      </x:c>
    </x:row>
    <x:row r="5" ht="24" customHeight="1">
      <x:c r="A5" s="16" t="n">
        <x:v>2024</x:v>
      </x:c>
      <x:c r="B5" s="73" t="n">
        <x:v>38038.068</x:v>
      </x:c>
      <x:c r="C5" s="73" t="n">
        <x:v>-26410.812</x:v>
      </x:c>
      <x:c r="D5" s="73" t="n">
        <x:v>11627.256</x:v>
      </x:c>
      <x:c r="E5" s="73" t="n">
        <x:v>-10064.824</x:v>
      </x:c>
      <x:c r="F5" s="73" t="n">
        <x:v>1562.432</x:v>
      </x:c>
      <x:c r="G5" s="73" t="n">
        <x:v>-1475.048</x:v>
      </x:c>
      <x:c r="H5" s="73" t="n">
        <x:v>448.717</x:v>
      </x:c>
      <x:c r="I5" s="73" t="n">
        <x:v>37311.858</x:v>
      </x:c>
      <x:c r="J5" s="73" t="n">
        <x:v>19550.824</x:v>
      </x:c>
      <x:c r="K5" s="73" t="n">
        <x:v>1827.197</x:v>
      </x:c>
      <x:c r="L5" s="73" t="n">
        <x:v>5833.528</x:v>
      </x:c>
      <x:c r="M5" s="73" t="n">
        <x:v>7611.132</x:v>
      </x:c>
      <x:c r="N5" s="73" t="n">
        <x:v>37311.858</x:v>
      </x:c>
      <x:c r="O5" s="73" t="n">
        <x:v>16710.55</x:v>
      </x:c>
      <x:c r="P5" s="73" t="n">
        <x:v>1402.168</x:v>
      </x:c>
      <x:c r="Q5" s="73" t="n">
        <x:v>3179.992</x:v>
      </x:c>
      <x:c r="R5" s="73" t="n">
        <x:v>11319.262</x:v>
      </x:c>
      <x:c r="S5" s="73" t="n">
        <x:v>15835.331</x:v>
      </x:c>
      <x:c r="T5" s="73" t="n">
        <x:v>-1290.606</x:v>
      </x:c>
      <x:c r="U5" s="73" t="n">
        <x:v>-15310.874</x:v>
      </x:c>
      <x:c r="V5" s="73" t="n">
        <x:v>-766.149</x:v>
      </x:c>
      <x:c r="W5" s="73" t="n">
        <x:v>-266.6</x:v>
      </x:c>
      <x:c r="X5" s="73" t="n">
        <x:v>-462.947</x:v>
      </x:c>
      <x:c r="Y5" s="73" t="n">
        <x:f>W5+X5</x:f>
        <x:v>-729.547</x:v>
      </x:c>
      <x:c r="Z5" s="73" t="n">
        <x:f>S5+Y5</x:f>
        <x:v>15105.784</x:v>
      </x:c>
      <x:c r="AA5" s="73" t="n">
        <x:f>P5+Q5</x:f>
        <x:v>4582.16</x:v>
      </x:c>
      <x:c r="AB5" s="73" t="n">
        <x:f>AA5-K5</x:f>
        <x:v>2754.9629999999997</x:v>
      </x:c>
      <x:c r="AC5" s="74" t="n">
        <x:f>IFERROR(D5/B5,0)</x:f>
        <x:v>0.30567419985683814</x:v>
      </x:c>
      <x:c r="AD5" s="74" t="n">
        <x:f>IFERROR(F5/B5,0)</x:f>
        <x:v>0.04107548259285934</x:v>
      </x:c>
      <x:c r="AE5" s="74" t="n">
        <x:f>IFERROR(H5/B5,0)</x:f>
        <x:v>0.01179652447122183</x:v>
      </x:c>
      <x:c r="AF5" s="75" t="n">
        <x:f>IFERROR(J5/O5,0)</x:f>
        <x:v>1.1699689118550856</x:v>
      </x:c>
      <x:c r="AG5" s="74" t="n">
        <x:f>IFERROR(H5/I5,0)</x:f>
        <x:v>0.012026123169744052</x:v>
      </x:c>
      <x:c r="AH5" s="74" t="n">
        <x:f>IFERROR(H5/R5,0)</x:f>
        <x:v>0.03964189538151869</x:v>
      </x:c>
      <x:c r="AI5" s="74" t="n">
        <x:f>IFERROR(B5/B4-1,0)</x:f>
        <x:v>0.034538562166945175</x:v>
      </x:c>
      <x:c r="AJ5" s="74" t="n">
        <x:f>IFERROR(H5/H4-1,0)</x:f>
        <x:v>-1.4582935009968296</x:v>
      </x:c>
    </x:row>
    <x:row r="6" ht="24" customHeight="1">
      <x:c r="A6" s="16" t="n">
        <x:v>2025</x:v>
      </x:c>
      <x:c r="B6" s="73" t="n">
        <x:v>38703.387</x:v>
      </x:c>
      <x:c r="C6" s="73" t="n">
        <x:v>-27148.836</x:v>
      </x:c>
      <x:c r="D6" s="73" t="n">
        <x:v>11554.551</x:v>
      </x:c>
      <x:c r="E6" s="73" t="n">
        <x:v>-9635.868</x:v>
      </x:c>
      <x:c r="F6" s="73" t="n">
        <x:v>1918.683</x:v>
      </x:c>
      <x:c r="G6" s="73" t="n">
        <x:v>-2044.179</x:v>
      </x:c>
      <x:c r="H6" s="73" t="n">
        <x:v>204.603</x:v>
      </x:c>
      <x:c r="I6" s="73" t="n">
        <x:v>37911.158</x:v>
      </x:c>
      <x:c r="J6" s="73" t="n">
        <x:v>19839.054</x:v>
      </x:c>
      <x:c r="K6" s="73" t="n">
        <x:v>1575.837</x:v>
      </x:c>
      <x:c r="L6" s="73" t="n">
        <x:v>5608.982</x:v>
      </x:c>
      <x:c r="M6" s="73" t="n">
        <x:v>7181.339</x:v>
      </x:c>
      <x:c r="N6" s="73" t="n">
        <x:v>37911.158</x:v>
      </x:c>
      <x:c r="O6" s="73" t="n">
        <x:v>17182.792</x:v>
      </x:c>
      <x:c r="P6" s="73" t="n">
        <x:v>998.359</x:v>
      </x:c>
      <x:c r="Q6" s="73" t="n">
        <x:v>3946.177</x:v>
      </x:c>
      <x:c r="R6" s="73" t="n">
        <x:v>11278.03</x:v>
      </x:c>
      <x:c r="S6" s="73" t="n">
        <x:v>15719.373</x:v>
      </x:c>
      <x:c r="T6" s="73" t="n">
        <x:v>-1000.816</x:v>
      </x:c>
      <x:c r="U6" s="73" t="n">
        <x:v>-14969.917</x:v>
      </x:c>
      <x:c r="V6" s="73" t="n">
        <x:v>-251.36</x:v>
      </x:c>
      <x:c r="W6" s="73" t="n">
        <x:v>-330.687</x:v>
      </x:c>
      <x:c r="X6" s="73" t="n">
        <x:v>-560.928</x:v>
      </x:c>
      <x:c r="Y6" s="73" t="n">
        <x:f>W6+X6</x:f>
        <x:v>-891.615</x:v>
      </x:c>
      <x:c r="Z6" s="73" t="n">
        <x:f>S6+Y6</x:f>
        <x:v>14827.758</x:v>
      </x:c>
      <x:c r="AA6" s="73" t="n">
        <x:f>P6+Q6</x:f>
        <x:v>4944.536</x:v>
      </x:c>
      <x:c r="AB6" s="73" t="n">
        <x:f>AA6-K6</x:f>
        <x:v>3368.699</x:v>
      </x:c>
      <x:c r="AC6" s="74" t="n">
        <x:f>IFERROR(D6/B6,0)</x:f>
        <x:v>0.29854108117204314</x:v>
      </x:c>
      <x:c r="AD6" s="74" t="n">
        <x:f>IFERROR(F6/B6,0)</x:f>
        <x:v>0.04957403340436329</x:v>
      </x:c>
      <x:c r="AE6" s="74" t="n">
        <x:f>IFERROR(H6/B6,0)</x:f>
        <x:v>0.0052864365591569545</x:v>
      </x:c>
      <x:c r="AF6" s="75" t="n">
        <x:f>IFERROR(J6/O6,0)</x:f>
        <x:v>1.1545884976085377</x:v>
      </x:c>
      <x:c r="AG6" s="74" t="n">
        <x:f>IFERROR(H6/I6,0)</x:f>
        <x:v>0.0053969071585732095</x:v>
      </x:c>
      <x:c r="AH6" s="74" t="n">
        <x:f>IFERROR(H6/R6,0)</x:f>
        <x:v>0.01814173219968381</x:v>
      </x:c>
      <x:c r="AI6" s="74" t="n">
        <x:f>IFERROR(B6/B5-1,0)</x:f>
        <x:v>0.01749087256482129</x:v>
      </x:c>
      <x:c r="AJ6" s="74" t="n">
        <x:f>IFERROR(H6/H5-1,0)</x:f>
        <x:v>-0.5440266359420303</x:v>
      </x:c>
    </x:row>
  </x:sheetData>
  <x:pageMargins left="0.7" right="0.7" top="0.75" bottom="0.75" header="0.3" footer="0.3"/>
  <x:tableParts count="1">
    <x:tablePart xmlns:r="http://schemas.openxmlformats.org/officeDocument/2006/relationships" r:id="Rc0a19026333b43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3" t="str">
        <x:v>Controles de Qualidade</x:v>
      </x:c>
      <x:c r="B1" s="3" t="str">
        <x:v>Controles de Qualidade</x:v>
      </x:c>
      <x:c r="C1" s="3" t="str">
        <x:v>Controles de Qualidade</x:v>
      </x:c>
      <x:c r="D1" s="3" t="str">
        <x:v>Controles de Qualidade</x:v>
      </x:c>
      <x:c r="E1" s="3" t="str">
        <x:v>Controles de Qualidade</x:v>
      </x:c>
      <x:c r="F1" s="3" t="str">
        <x:v>Controles de Qualidade</x:v>
      </x:c>
      <x:c r="G1" s="3" t="str">
        <x:v>Controles de Qualidade</x:v>
      </x:c>
      <x:c r="H1" s="3" t="str">
        <x:v>Controles de Qualidade</x:v>
      </x:c>
    </x:row>
    <x:row r="2" ht="24" customHeight="1">
      <x:c r="A2" s="3" t="str">
        <x:v>Controles de Qualidade</x:v>
      </x:c>
      <x:c r="B2" s="3" t="str">
        <x:v>Controles de Qualidade</x:v>
      </x:c>
      <x:c r="C2" s="3" t="str">
        <x:v>Controles de Qualidade</x:v>
      </x:c>
      <x:c r="D2" s="3" t="str">
        <x:v>Controles de Qualidade</x:v>
      </x:c>
      <x:c r="E2" s="3" t="str">
        <x:v>Controles de Qualidade</x:v>
      </x:c>
      <x:c r="F2" s="3" t="str">
        <x:v>Controles de Qualidade</x:v>
      </x:c>
      <x:c r="G2" s="3" t="str">
        <x:v>Controles de Qualidade</x:v>
      </x:c>
      <x:c r="H2" s="3" t="str">
        <x:v>Controles de Qualidade</x:v>
      </x:c>
    </x:row>
    <x:row r="3" ht="24" customHeight="1">
      <x:c r="A3" s="6" t="str">
        <x:v>Testes de integridade, completude e reconciliação</x:v>
      </x:c>
      <x:c r="B3" s="6" t="str">
        <x:v>Testes de integridade, completude e reconciliação</x:v>
      </x:c>
      <x:c r="C3" s="6" t="str">
        <x:v>Testes de integridade, completude e reconciliação</x:v>
      </x:c>
      <x:c r="D3" s="6" t="str">
        <x:v>Testes de integridade, completude e reconciliação</x:v>
      </x:c>
      <x:c r="E3" s="6" t="str">
        <x:v>Testes de integridade, completude e reconciliação</x:v>
      </x:c>
      <x:c r="F3" s="6" t="str">
        <x:v>Testes de integridade, completude e reconciliação</x:v>
      </x:c>
      <x:c r="G3" s="6" t="str">
        <x:v>Testes de integridade, completude e reconciliação</x:v>
      </x:c>
      <x:c r="H3" s="6" t="str">
        <x:v>Testes de integridade, completude e reconciliação</x:v>
      </x:c>
      <x:c r="I3" s="6" t="str">
        <x:v>Testes de integridade, completude e reconciliação</x:v>
      </x:c>
      <x:c r="J3" s="6" t="str">
        <x:v>Testes de integridade, completude e reconciliação</x:v>
      </x:c>
      <x:c r="K3" s="6" t="str">
        <x:v>Testes de integridade, completude e reconciliação</x:v>
      </x:c>
      <x:c r="L3" s="6" t="str">
        <x:v>Testes de integridade, completude e reconciliação</x:v>
      </x:c>
      <x:c r="M3" s="6" t="str">
        <x:v>Testes de integridade, completude e reconciliação</x:v>
      </x:c>
      <x:c r="N3" s="6" t="str">
        <x:v>Testes de integridade, completude e reconciliação</x:v>
      </x:c>
    </x:row>
    <x:row r="4" ht="24" customHeight="1"/>
    <x:row r="5" ht="24" customHeight="1">
      <x:c r="A5" s="12" t="str">
        <x:v>Ano</x:v>
      </x:c>
      <x:c r="B5" s="12" t="str">
        <x:v>Ativo Total</x:v>
      </x:c>
      <x:c r="C5" s="12" t="str">
        <x:v>Passivo Total</x:v>
      </x:c>
      <x:c r="D5" s="12" t="str">
        <x:v>Diferença</x:v>
      </x:c>
      <x:c r="E5" s="12" t="str">
        <x:v>Balanço</x:v>
      </x:c>
      <x:c r="F5" s="12" t="str">
        <x:v>Ano Único</x:v>
      </x:c>
      <x:c r="G5" s="12" t="str">
        <x:v>Sem Ausências</x:v>
      </x:c>
      <x:c r="H5" s="12" t="str">
        <x:v>Status Linha</x:v>
      </x:c>
    </x:row>
    <x:row r="6" ht="24" customHeight="1">
      <x:c r="A6" s="16" t="n">
        <x:f>INDICADORES!A2</x:f>
        <x:v>2021</x:v>
      </x:c>
      <x:c r="B6" s="76" t="n">
        <x:f>INDICADORES!I2</x:f>
        <x:v>38384.616</x:v>
      </x:c>
      <x:c r="C6" s="76" t="n">
        <x:f>INDICADORES!N2</x:f>
        <x:v>38384.616</x:v>
      </x:c>
      <x:c r="D6" s="76" t="n">
        <x:f>B6-C6</x:f>
        <x:v>0</x:v>
      </x:c>
      <x:c r="E6" s="16" t="str">
        <x:f>IF(ABS(D6)&lt;=0.001,"PASS","FAIL")</x:f>
        <x:v>PASS</x:v>
      </x:c>
      <x:c r="F6" s="16" t="str">
        <x:f>IF(COUNTIF(INDICADORES!$A$2:$A$6,A6)=1,"PASS","FAIL")</x:f>
        <x:v>PASS</x:v>
      </x:c>
      <x:c r="G6" s="16" t="str">
        <x:f>IF(COUNTBLANK(INDICADORES!B2:X2)=0,"PASS","FAIL")</x:f>
        <x:v>PASS</x:v>
      </x:c>
      <x:c r="H6" s="16" t="str">
        <x:f>IF(COUNTIF(E6:G6,"FAIL")=0,"PASS","FAIL")</x:f>
        <x:v>PASS</x:v>
      </x:c>
    </x:row>
    <x:row r="7" ht="24" customHeight="1">
      <x:c r="A7" s="16" t="n">
        <x:f>INDICADORES!A3</x:f>
        <x:v>2022</x:v>
      </x:c>
      <x:c r="B7" s="76" t="n">
        <x:f>INDICADORES!I3</x:f>
        <x:v>37765.845</x:v>
      </x:c>
      <x:c r="C7" s="76" t="n">
        <x:f>INDICADORES!N3</x:f>
        <x:v>37765.845</x:v>
      </x:c>
      <x:c r="D7" s="76" t="n">
        <x:f>B7-C7</x:f>
        <x:v>0</x:v>
      </x:c>
      <x:c r="E7" s="16" t="str">
        <x:f>IF(ABS(D7)&lt;=0.001,"PASS","FAIL")</x:f>
        <x:v>PASS</x:v>
      </x:c>
      <x:c r="F7" s="16" t="str">
        <x:f>IF(COUNTIF(INDICADORES!$A$2:$A$6,A7)=1,"PASS","FAIL")</x:f>
        <x:v>PASS</x:v>
      </x:c>
      <x:c r="G7" s="16" t="str">
        <x:f>IF(COUNTBLANK(INDICADORES!B3:X3)=0,"PASS","FAIL")</x:f>
        <x:v>PASS</x:v>
      </x:c>
      <x:c r="H7" s="16" t="str">
        <x:f>IF(COUNTIF(E7:G7,"FAIL")=0,"PASS","FAIL")</x:f>
        <x:v>PASS</x:v>
      </x:c>
    </x:row>
    <x:row r="8" ht="24" customHeight="1">
      <x:c r="A8" s="16" t="n">
        <x:f>INDICADORES!A4</x:f>
        <x:v>2023</x:v>
      </x:c>
      <x:c r="B8" s="76" t="n">
        <x:f>INDICADORES!I4</x:f>
        <x:v>37455.067</x:v>
      </x:c>
      <x:c r="C8" s="76" t="n">
        <x:f>INDICADORES!N4</x:f>
        <x:v>37455.067</x:v>
      </x:c>
      <x:c r="D8" s="76" t="n">
        <x:f>B8-C8</x:f>
        <x:v>0</x:v>
      </x:c>
      <x:c r="E8" s="16" t="str">
        <x:f>IF(ABS(D8)&lt;=0.001,"PASS","FAIL")</x:f>
        <x:v>PASS</x:v>
      </x:c>
      <x:c r="F8" s="16" t="str">
        <x:f>IF(COUNTIF(INDICADORES!$A$2:$A$6,A8)=1,"PASS","FAIL")</x:f>
        <x:v>PASS</x:v>
      </x:c>
      <x:c r="G8" s="16" t="str">
        <x:f>IF(COUNTBLANK(INDICADORES!B4:X4)=0,"PASS","FAIL")</x:f>
        <x:v>PASS</x:v>
      </x:c>
      <x:c r="H8" s="16" t="str">
        <x:f>IF(COUNTIF(E8:G8,"FAIL")=0,"PASS","FAIL")</x:f>
        <x:v>PASS</x:v>
      </x:c>
    </x:row>
    <x:row r="9" ht="24" customHeight="1">
      <x:c r="A9" s="16" t="n">
        <x:f>INDICADORES!A5</x:f>
        <x:v>2024</x:v>
      </x:c>
      <x:c r="B9" s="76" t="n">
        <x:f>INDICADORES!I5</x:f>
        <x:v>37311.858</x:v>
      </x:c>
      <x:c r="C9" s="76" t="n">
        <x:f>INDICADORES!N5</x:f>
        <x:v>37311.858</x:v>
      </x:c>
      <x:c r="D9" s="76" t="n">
        <x:f>B9-C9</x:f>
        <x:v>0</x:v>
      </x:c>
      <x:c r="E9" s="16" t="str">
        <x:f>IF(ABS(D9)&lt;=0.001,"PASS","FAIL")</x:f>
        <x:v>PASS</x:v>
      </x:c>
      <x:c r="F9" s="16" t="str">
        <x:f>IF(COUNTIF(INDICADORES!$A$2:$A$6,A9)=1,"PASS","FAIL")</x:f>
        <x:v>PASS</x:v>
      </x:c>
      <x:c r="G9" s="16" t="str">
        <x:f>IF(COUNTBLANK(INDICADORES!B5:X5)=0,"PASS","FAIL")</x:f>
        <x:v>PASS</x:v>
      </x:c>
      <x:c r="H9" s="16" t="str">
        <x:f>IF(COUNTIF(E9:G9,"FAIL")=0,"PASS","FAIL")</x:f>
        <x:v>PASS</x:v>
      </x:c>
    </x:row>
    <x:row r="10" ht="24" customHeight="1">
      <x:c r="A10" s="16" t="n">
        <x:f>INDICADORES!A6</x:f>
        <x:v>2025</x:v>
      </x:c>
      <x:c r="B10" s="76" t="n">
        <x:f>INDICADORES!I6</x:f>
        <x:v>37911.158</x:v>
      </x:c>
      <x:c r="C10" s="76" t="n">
        <x:f>INDICADORES!N6</x:f>
        <x:v>37911.158</x:v>
      </x:c>
      <x:c r="D10" s="76" t="n">
        <x:f>B10-C10</x:f>
        <x:v>0</x:v>
      </x:c>
      <x:c r="E10" s="16" t="str">
        <x:f>IF(ABS(D10)&lt;=0.001,"PASS","FAIL")</x:f>
        <x:v>PASS</x:v>
      </x:c>
      <x:c r="F10" s="16" t="str">
        <x:f>IF(COUNTIF(INDICADORES!$A$2:$A$6,A10)=1,"PASS","FAIL")</x:f>
        <x:v>PASS</x:v>
      </x:c>
      <x:c r="G10" s="16" t="str">
        <x:f>IF(COUNTBLANK(INDICADORES!B6:X6)=0,"PASS","FAIL")</x:f>
        <x:v>PASS</x:v>
      </x:c>
      <x:c r="H10" s="16" t="str">
        <x:f>IF(COUNTIF(E10:G10,"FAIL")=0,"PASS","FAIL")</x:f>
        <x:v>PASS</x:v>
      </x:c>
    </x:row>
    <x:row r="11" ht="24" customHeight="1"/>
    <x:row r="12" ht="24" customHeight="1"/>
    <x:row r="13" ht="24" customHeight="1">
      <x:c r="A13" s="12" t="str">
        <x:v>Controle</x:v>
      </x:c>
      <x:c r="B13" s="12" t="str">
        <x:v>Resultado</x:v>
      </x:c>
    </x:row>
    <x:row r="14" ht="24" customHeight="1">
      <x:c r="A14" s="16" t="str">
        <x:v>5 exercícios carregados</x:v>
      </x:c>
      <x:c r="B14" s="16" t="str">
        <x:f>IF(COUNTA(INDICADORES!$A$2:$A$6)=5,"PASS","FAIL")</x:f>
        <x:v>PASS</x:v>
      </x:c>
    </x:row>
    <x:row r="15" ht="24" customHeight="1">
      <x:c r="A15" s="16" t="str">
        <x:v>CNPJ esperado</x:v>
      </x:c>
      <x:c r="B15" s="16" t="str">
        <x:f>IF(FONTES!$B$7="47.960.950/0001-21","PASS","FAIL")</x:f>
        <x:v>PASS</x:v>
      </x:c>
    </x:row>
    <x:row r="16" ht="24" customHeight="1">
      <x:c r="A16" s="16" t="str">
        <x:v>Escala original</x:v>
      </x:c>
      <x:c r="B16" s="16" t="str">
        <x:f>IF(FONTES!$B$10="MIL","PASS","FAIL")</x:f>
        <x:v>PASS</x:v>
      </x:c>
    </x:row>
    <x:row r="17" ht="24" customHeight="1">
      <x:c r="A17" s="16" t="str">
        <x:v>Status geral</x:v>
      </x:c>
      <x:c r="B17" s="79" t="str">
        <x:f>IF(AND(COUNTIF(H6:H10,"FAIL")=0,COUNTIF(B14:B16,"FAIL")=0),"PASS","FAIL")</x:f>
        <x:v>PASS</x:v>
      </x:c>
    </x:row>
  </x:sheetData>
  <x:mergeCells>
    <x:mergeCell ref="A1:H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Metrica</x:v>
      </x:c>
      <x:c r="B1" s="12" t="str">
        <x:v>Rotulo</x:v>
      </x:c>
      <x:c r="C1" s="12" t="str">
        <x:v>Categoria</x:v>
      </x:c>
      <x:c r="D1" s="12" t="str">
        <x:v>Demonstracao</x:v>
      </x:c>
      <x:c r="E1" s="12" t="str">
        <x:v>Codigo_Conta_CVM</x:v>
      </x:c>
      <x:c r="F1" s="12" t="str">
        <x:v>Unidade_Modelo</x:v>
      </x:c>
      <x:c r="G1" s="12" t="str">
        <x:v>Regra</x:v>
      </x:c>
    </x:row>
    <x:row r="2">
      <x:c r="A2" s="80" t="str">
        <x:v>Receita</x:v>
      </x:c>
      <x:c r="B2" s="80" t="str">
        <x:v>Receita líquida</x:v>
      </x:c>
      <x:c r="C2" s="80" t="str">
        <x:v>Resultado</x:v>
      </x:c>
      <x:c r="D2" s="80" t="str">
        <x:v>DRE</x:v>
      </x:c>
      <x:c r="E2" s="80" t="str">
        <x:v>3.01</x:v>
      </x:c>
      <x:c r="F2" s="80" t="str">
        <x:v>R$ milhões</x:v>
      </x:c>
      <x:c r="G2" s="80" t="str">
        <x:v>Valor CVM em R$ mil dividido por 1.000</x:v>
      </x:c>
    </x:row>
    <x:row r="3">
      <x:c r="A3" s="80" t="str">
        <x:v>Custos</x:v>
      </x:c>
      <x:c r="B3" s="80" t="str">
        <x:v>Custos dos bens e serviços</x:v>
      </x:c>
      <x:c r="C3" s="80" t="str">
        <x:v>Resultado</x:v>
      </x:c>
      <x:c r="D3" s="80" t="str">
        <x:v>DRE</x:v>
      </x:c>
      <x:c r="E3" s="80" t="str">
        <x:v>3.02</x:v>
      </x:c>
      <x:c r="F3" s="80" t="str">
        <x:v>R$ milhões</x:v>
      </x:c>
      <x:c r="G3" s="80" t="str">
        <x:v>Valor CVM em R$ mil dividido por 1.000</x:v>
      </x:c>
    </x:row>
    <x:row r="4">
      <x:c r="A4" s="80" t="str">
        <x:v>Lucro_Bruto</x:v>
      </x:c>
      <x:c r="B4" s="80" t="str">
        <x:v>Lucro bruto</x:v>
      </x:c>
      <x:c r="C4" s="80" t="str">
        <x:v>Resultado</x:v>
      </x:c>
      <x:c r="D4" s="80" t="str">
        <x:v>DRE</x:v>
      </x:c>
      <x:c r="E4" s="80" t="str">
        <x:v>3.03</x:v>
      </x:c>
      <x:c r="F4" s="80" t="str">
        <x:v>R$ milhões</x:v>
      </x:c>
      <x:c r="G4" s="80" t="str">
        <x:v>Valor CVM em R$ mil dividido por 1.000</x:v>
      </x:c>
    </x:row>
    <x:row r="5">
      <x:c r="A5" s="80" t="str">
        <x:v>Despesas_Operacionais</x:v>
      </x:c>
      <x:c r="B5" s="80" t="str">
        <x:v>Despesas/receitas operacionais</x:v>
      </x:c>
      <x:c r="C5" s="80" t="str">
        <x:v>Resultado</x:v>
      </x:c>
      <x:c r="D5" s="80" t="str">
        <x:v>DRE</x:v>
      </x:c>
      <x:c r="E5" s="80" t="str">
        <x:v>3.04</x:v>
      </x:c>
      <x:c r="F5" s="80" t="str">
        <x:v>R$ milhões</x:v>
      </x:c>
      <x:c r="G5" s="80" t="str">
        <x:v>Valor CVM em R$ mil dividido por 1.000</x:v>
      </x:c>
    </x:row>
    <x:row r="6">
      <x:c r="A6" s="80" t="str">
        <x:v>Resultado_Operacional</x:v>
      </x:c>
      <x:c r="B6" s="80" t="str">
        <x:v>Resultado operacional (antes do financeiro e tributos)</x:v>
      </x:c>
      <x:c r="C6" s="80" t="str">
        <x:v>Resultado</x:v>
      </x:c>
      <x:c r="D6" s="80" t="str">
        <x:v>DRE</x:v>
      </x:c>
      <x:c r="E6" s="80" t="str">
        <x:v>3.05</x:v>
      </x:c>
      <x:c r="F6" s="80" t="str">
        <x:v>R$ milhões</x:v>
      </x:c>
      <x:c r="G6" s="80" t="str">
        <x:v>Valor CVM em R$ mil dividido por 1.000</x:v>
      </x:c>
    </x:row>
    <x:row r="7">
      <x:c r="A7" s="80" t="str">
        <x:v>Resultado_Financeiro</x:v>
      </x:c>
      <x:c r="B7" s="80" t="str">
        <x:v>Resultado financeiro</x:v>
      </x:c>
      <x:c r="C7" s="80" t="str">
        <x:v>Resultado</x:v>
      </x:c>
      <x:c r="D7" s="80" t="str">
        <x:v>DRE</x:v>
      </x:c>
      <x:c r="E7" s="80" t="str">
        <x:v>3.06</x:v>
      </x:c>
      <x:c r="F7" s="80" t="str">
        <x:v>R$ milhões</x:v>
      </x:c>
      <x:c r="G7" s="80" t="str">
        <x:v>Valor CVM em R$ mil dividido por 1.000</x:v>
      </x:c>
    </x:row>
    <x:row r="8">
      <x:c r="A8" s="80" t="str">
        <x:v>Lucro_Liquido</x:v>
      </x:c>
      <x:c r="B8" s="80" t="str">
        <x:v>Lucro/prejuízo consolidado</x:v>
      </x:c>
      <x:c r="C8" s="80" t="str">
        <x:v>Resultado</x:v>
      </x:c>
      <x:c r="D8" s="80" t="str">
        <x:v>DRE</x:v>
      </x:c>
      <x:c r="E8" s="80" t="str">
        <x:v>3.11</x:v>
      </x:c>
      <x:c r="F8" s="80" t="str">
        <x:v>R$ milhões</x:v>
      </x:c>
      <x:c r="G8" s="80" t="str">
        <x:v>Valor CVM em R$ mil dividido por 1.000</x:v>
      </x:c>
    </x:row>
    <x:row r="9">
      <x:c r="A9" s="80" t="str">
        <x:v>Ativo_Total</x:v>
      </x:c>
      <x:c r="B9" s="80" t="str">
        <x:v>Ativo total</x:v>
      </x:c>
      <x:c r="C9" s="80" t="str">
        <x:v>Balanço</x:v>
      </x:c>
      <x:c r="D9" s="80" t="str">
        <x:v>BPA</x:v>
      </x:c>
      <x:c r="E9" s="80" t="str">
        <x:v>1</x:v>
      </x:c>
      <x:c r="F9" s="80" t="str">
        <x:v>R$ milhões</x:v>
      </x:c>
      <x:c r="G9" s="80" t="str">
        <x:v>Valor CVM em R$ mil dividido por 1.000</x:v>
      </x:c>
    </x:row>
    <x:row r="10">
      <x:c r="A10" s="80" t="str">
        <x:v>Ativo_Circulante</x:v>
      </x:c>
      <x:c r="B10" s="80" t="str">
        <x:v>Ativo circulante</x:v>
      </x:c>
      <x:c r="C10" s="80" t="str">
        <x:v>Balanço</x:v>
      </x:c>
      <x:c r="D10" s="80" t="str">
        <x:v>BPA</x:v>
      </x:c>
      <x:c r="E10" s="80" t="str">
        <x:v>1.01</x:v>
      </x:c>
      <x:c r="F10" s="80" t="str">
        <x:v>R$ milhões</x:v>
      </x:c>
      <x:c r="G10" s="80" t="str">
        <x:v>Valor CVM em R$ mil dividido por 1.000</x:v>
      </x:c>
    </x:row>
    <x:row r="11">
      <x:c r="A11" s="80" t="str">
        <x:v>Caixa</x:v>
      </x:c>
      <x:c r="B11" s="80" t="str">
        <x:v>Caixa e equivalentes</x:v>
      </x:c>
      <x:c r="C11" s="80" t="str">
        <x:v>Balanço</x:v>
      </x:c>
      <x:c r="D11" s="80" t="str">
        <x:v>BPA</x:v>
      </x:c>
      <x:c r="E11" s="80" t="str">
        <x:v>1.01.01</x:v>
      </x:c>
      <x:c r="F11" s="80" t="str">
        <x:v>R$ milhões</x:v>
      </x:c>
      <x:c r="G11" s="80" t="str">
        <x:v>Valor CVM em R$ mil dividido por 1.000</x:v>
      </x:c>
    </x:row>
    <x:row r="12">
      <x:c r="A12" s="80" t="str">
        <x:v>Contas_a_Receber</x:v>
      </x:c>
      <x:c r="B12" s="80" t="str">
        <x:v>Contas a receber</x:v>
      </x:c>
      <x:c r="C12" s="80" t="str">
        <x:v>Balanço</x:v>
      </x:c>
      <x:c r="D12" s="80" t="str">
        <x:v>BPA</x:v>
      </x:c>
      <x:c r="E12" s="80" t="str">
        <x:v>1.01.03</x:v>
      </x:c>
      <x:c r="F12" s="80" t="str">
        <x:v>R$ milhões</x:v>
      </x:c>
      <x:c r="G12" s="80" t="str">
        <x:v>Valor CVM em R$ mil dividido por 1.000</x:v>
      </x:c>
    </x:row>
    <x:row r="13">
      <x:c r="A13" s="80" t="str">
        <x:v>Estoques</x:v>
      </x:c>
      <x:c r="B13" s="80" t="str">
        <x:v>Estoques</x:v>
      </x:c>
      <x:c r="C13" s="80" t="str">
        <x:v>Balanço</x:v>
      </x:c>
      <x:c r="D13" s="80" t="str">
        <x:v>BPA</x:v>
      </x:c>
      <x:c r="E13" s="80" t="str">
        <x:v>1.01.04</x:v>
      </x:c>
      <x:c r="F13" s="80" t="str">
        <x:v>R$ milhões</x:v>
      </x:c>
      <x:c r="G13" s="80" t="str">
        <x:v>Valor CVM em R$ mil dividido por 1.000</x:v>
      </x:c>
    </x:row>
    <x:row r="14">
      <x:c r="A14" s="80" t="str">
        <x:v>Passivo_Total</x:v>
      </x:c>
      <x:c r="B14" s="80" t="str">
        <x:v>Passivo total e patrimônio líquido</x:v>
      </x:c>
      <x:c r="C14" s="80" t="str">
        <x:v>Balanço</x:v>
      </x:c>
      <x:c r="D14" s="80" t="str">
        <x:v>BPP</x:v>
      </x:c>
      <x:c r="E14" s="80" t="str">
        <x:v>2</x:v>
      </x:c>
      <x:c r="F14" s="80" t="str">
        <x:v>R$ milhões</x:v>
      </x:c>
      <x:c r="G14" s="80" t="str">
        <x:v>Valor CVM em R$ mil dividido por 1.000</x:v>
      </x:c>
    </x:row>
    <x:row r="15">
      <x:c r="A15" s="80" t="str">
        <x:v>Passivo_Circulante</x:v>
      </x:c>
      <x:c r="B15" s="80" t="str">
        <x:v>Passivo circulante</x:v>
      </x:c>
      <x:c r="C15" s="80" t="str">
        <x:v>Balanço</x:v>
      </x:c>
      <x:c r="D15" s="80" t="str">
        <x:v>BPP</x:v>
      </x:c>
      <x:c r="E15" s="80" t="str">
        <x:v>2.01</x:v>
      </x:c>
      <x:c r="F15" s="80" t="str">
        <x:v>R$ milhões</x:v>
      </x:c>
      <x:c r="G15" s="80" t="str">
        <x:v>Valor CVM em R$ mil dividido por 1.000</x:v>
      </x:c>
    </x:row>
    <x:row r="16">
      <x:c r="A16" s="80" t="str">
        <x:v>Divida_CP</x:v>
      </x:c>
      <x:c r="B16" s="80" t="str">
        <x:v>Empréstimos e financiamentos de curto prazo</x:v>
      </x:c>
      <x:c r="C16" s="80" t="str">
        <x:v>Balanço</x:v>
      </x:c>
      <x:c r="D16" s="80" t="str">
        <x:v>BPP</x:v>
      </x:c>
      <x:c r="E16" s="80" t="str">
        <x:v>2.01.04</x:v>
      </x:c>
      <x:c r="F16" s="80" t="str">
        <x:v>R$ milhões</x:v>
      </x:c>
      <x:c r="G16" s="80" t="str">
        <x:v>Valor CVM em R$ mil dividido por 1.000</x:v>
      </x:c>
    </x:row>
    <x:row r="17">
      <x:c r="A17" s="80" t="str">
        <x:v>Divida_LP</x:v>
      </x:c>
      <x:c r="B17" s="80" t="str">
        <x:v>Empréstimos e financiamentos de longo prazo</x:v>
      </x:c>
      <x:c r="C17" s="80" t="str">
        <x:v>Balanço</x:v>
      </x:c>
      <x:c r="D17" s="80" t="str">
        <x:v>BPP</x:v>
      </x:c>
      <x:c r="E17" s="80" t="str">
        <x:v>2.02.01</x:v>
      </x:c>
      <x:c r="F17" s="80" t="str">
        <x:v>R$ milhões</x:v>
      </x:c>
      <x:c r="G17" s="80" t="str">
        <x:v>Valor CVM em R$ mil dividido por 1.000</x:v>
      </x:c>
    </x:row>
    <x:row r="18">
      <x:c r="A18" s="80" t="str">
        <x:v>Patrimonio_Liquido</x:v>
      </x:c>
      <x:c r="B18" s="80" t="str">
        <x:v>Patrimônio líquido consolidado</x:v>
      </x:c>
      <x:c r="C18" s="80" t="str">
        <x:v>Balanço</x:v>
      </x:c>
      <x:c r="D18" s="80" t="str">
        <x:v>BPP</x:v>
      </x:c>
      <x:c r="E18" s="80" t="str">
        <x:v>2.03</x:v>
      </x:c>
      <x:c r="F18" s="80" t="str">
        <x:v>R$ milhões</x:v>
      </x:c>
      <x:c r="G18" s="80" t="str">
        <x:v>Valor CVM em R$ mil dividido por 1.000</x:v>
      </x:c>
    </x:row>
    <x:row r="19">
      <x:c r="A19" s="80" t="str">
        <x:v>FCO</x:v>
      </x:c>
      <x:c r="B19" s="80" t="str">
        <x:v>Fluxo de caixa operacional</x:v>
      </x:c>
      <x:c r="C19" s="80" t="str">
        <x:v>Fluxo de caixa</x:v>
      </x:c>
      <x:c r="D19" s="80" t="str">
        <x:v>DFC_MI</x:v>
      </x:c>
      <x:c r="E19" s="80" t="str">
        <x:v>6.01</x:v>
      </x:c>
      <x:c r="F19" s="80" t="str">
        <x:v>R$ milhões</x:v>
      </x:c>
      <x:c r="G19" s="80" t="str">
        <x:v>Valor CVM em R$ mil dividido por 1.000</x:v>
      </x:c>
    </x:row>
    <x:row r="20">
      <x:c r="A20" s="80" t="str">
        <x:v>FCI</x:v>
      </x:c>
      <x:c r="B20" s="80" t="str">
        <x:v>Fluxo de caixa de investimento</x:v>
      </x:c>
      <x:c r="C20" s="80" t="str">
        <x:v>Fluxo de caixa</x:v>
      </x:c>
      <x:c r="D20" s="80" t="str">
        <x:v>DFC_MI</x:v>
      </x:c>
      <x:c r="E20" s="80" t="str">
        <x:v>6.02</x:v>
      </x:c>
      <x:c r="F20" s="80" t="str">
        <x:v>R$ milhões</x:v>
      </x:c>
      <x:c r="G20" s="80" t="str">
        <x:v>Valor CVM em R$ mil dividido por 1.000</x:v>
      </x:c>
    </x:row>
    <x:row r="21">
      <x:c r="A21" s="80" t="str">
        <x:v>FCF</x:v>
      </x:c>
      <x:c r="B21" s="80" t="str">
        <x:v>Fluxo de caixa de financiamento</x:v>
      </x:c>
      <x:c r="C21" s="80" t="str">
        <x:v>Fluxo de caixa</x:v>
      </x:c>
      <x:c r="D21" s="80" t="str">
        <x:v>DFC_MI</x:v>
      </x:c>
      <x:c r="E21" s="80" t="str">
        <x:v>6.03</x:v>
      </x:c>
      <x:c r="F21" s="80" t="str">
        <x:v>R$ milhões</x:v>
      </x:c>
      <x:c r="G21" s="80" t="str">
        <x:v>Valor CVM em R$ mil dividido por 1.000</x:v>
      </x:c>
    </x:row>
    <x:row r="22">
      <x:c r="A22" s="80" t="str">
        <x:v>Variacao_Caixa</x:v>
      </x:c>
      <x:c r="B22" s="80" t="str">
        <x:v>Variação de caixa</x:v>
      </x:c>
      <x:c r="C22" s="80" t="str">
        <x:v>Fluxo de caixa</x:v>
      </x:c>
      <x:c r="D22" s="80" t="str">
        <x:v>DFC_MI</x:v>
      </x:c>
      <x:c r="E22" s="80" t="str">
        <x:v>6.05</x:v>
      </x:c>
      <x:c r="F22" s="80" t="str">
        <x:v>R$ milhões</x:v>
      </x:c>
      <x:c r="G22" s="80" t="str">
        <x:v>Valor CVM em R$ mil dividido por 1.000</x:v>
      </x:c>
    </x:row>
    <x:row r="23">
      <x:c r="A23" s="80" t="str">
        <x:v>Capex_Imobilizado</x:v>
      </x:c>
      <x:c r="B23" s="80" t="str">
        <x:v>Aquisição de imobilizado</x:v>
      </x:c>
      <x:c r="C23" s="80" t="str">
        <x:v>Fluxo de caixa</x:v>
      </x:c>
      <x:c r="D23" s="80" t="str">
        <x:v>DFC_MI</x:v>
      </x:c>
      <x:c r="E23" s="80" t="str">
        <x:v>6.02.01</x:v>
      </x:c>
      <x:c r="F23" s="80" t="str">
        <x:v>R$ milhões</x:v>
      </x:c>
      <x:c r="G23" s="80" t="str">
        <x:v>Valor CVM em R$ mil dividido por 1.000</x:v>
      </x:c>
    </x:row>
    <x:row r="24">
      <x:c r="A24" s="80" t="str">
        <x:v>Capex_Intangivel</x:v>
      </x:c>
      <x:c r="B24" s="80" t="str">
        <x:v>Aquisição de intangível</x:v>
      </x:c>
      <x:c r="C24" s="80" t="str">
        <x:v>Fluxo de caixa</x:v>
      </x:c>
      <x:c r="D24" s="80" t="str">
        <x:v>DFC_MI</x:v>
      </x:c>
      <x:c r="E24" s="80" t="str">
        <x:v>6.02.02</x:v>
      </x:c>
      <x:c r="F24" s="80" t="str">
        <x:v>R$ milhões</x:v>
      </x:c>
      <x:c r="G24" s="80" t="str">
        <x:v>Valor CVM em R$ mil dividido por 1.000</x:v>
      </x:c>
    </x:row>
    <x:row r="25">
      <x:c r="A25" s="80" t="str">
        <x:v>Capex</x:v>
      </x:c>
      <x:c r="B25" s="80" t="str">
        <x:v>Capex</x:v>
      </x:c>
      <x:c r="C25" s="80" t="str">
        <x:v>Calculado</x:v>
      </x:c>
      <x:c r="D25" s="80" t="str">
        <x:v>DFC_MI</x:v>
      </x:c>
      <x:c r="E25" s="80" t="str">
        <x:v>6.02.01 + 6.02.02</x:v>
      </x:c>
      <x:c r="F25" s="80" t="str">
        <x:v>R$ milhões</x:v>
      </x:c>
      <x:c r="G25" s="80" t="str">
        <x:v>Aquisição de imobilizado + aquisição de intangível</x:v>
      </x:c>
    </x:row>
    <x:row r="26">
      <x:c r="A26" s="80" t="str">
        <x:v>Fluxo_Caixa_Livre</x:v>
      </x:c>
      <x:c r="B26" s="80" t="str">
        <x:v>Fluxo de caixa livre</x:v>
      </x:c>
      <x:c r="C26" s="80" t="str">
        <x:v>Calculado</x:v>
      </x:c>
      <x:c r="D26" s="80" t="str">
        <x:v>DFC_MI</x:v>
      </x:c>
      <x:c r="E26" s="80" t="str">
        <x:v>6.01 + 6.02.01 + 6.02.02</x:v>
      </x:c>
      <x:c r="F26" s="80" t="str">
        <x:v>R$ milhões</x:v>
      </x:c>
      <x:c r="G26" s="80" t="str">
        <x:v>FCO + Capex (capex já vem com sinal negativo)</x:v>
      </x:c>
    </x:row>
    <x:row r="27">
      <x:c r="A27" s="80" t="str">
        <x:v>Divida_Bruta</x:v>
      </x:c>
      <x:c r="B27" s="80" t="str">
        <x:v>Dívida bruta</x:v>
      </x:c>
      <x:c r="C27" s="80" t="str">
        <x:v>Calculado</x:v>
      </x:c>
      <x:c r="D27" s="80" t="str">
        <x:v>BPP</x:v>
      </x:c>
      <x:c r="E27" s="80" t="str">
        <x:v>2.01.04 + 2.02.01</x:v>
      </x:c>
      <x:c r="F27" s="80" t="str">
        <x:v>R$ milhões</x:v>
      </x:c>
      <x:c r="G27" s="80" t="str">
        <x:v>Empréstimos e financiamentos CP + LP</x:v>
      </x:c>
    </x:row>
    <x:row r="28">
      <x:c r="A28" s="80" t="str">
        <x:v>Divida_Liquida</x:v>
      </x:c>
      <x:c r="B28" s="80" t="str">
        <x:v>Dívida líquida</x:v>
      </x:c>
      <x:c r="C28" s="80" t="str">
        <x:v>Calculado</x:v>
      </x:c>
      <x:c r="D28" s="80" t="str">
        <x:v>BPA/BPP</x:v>
      </x:c>
      <x:c r="E28" s="80" t="str">
        <x:v>2.01.04 + 2.02.01 - 1.01.01</x:v>
      </x:c>
      <x:c r="F28" s="80" t="str">
        <x:v>R$ milhões</x:v>
      </x:c>
      <x:c r="G28" s="80" t="str">
        <x:v>Dívida bruta - caixa</x:v>
      </x:c>
    </x:row>
    <x:row r="29">
      <x:c r="A29" s="80" t="str">
        <x:v>Margem_Bruta</x:v>
      </x:c>
      <x:c r="B29" s="80" t="str">
        <x:v>Margem bruta</x:v>
      </x:c>
      <x:c r="C29" s="80" t="str">
        <x:v>Calculado</x:v>
      </x:c>
      <x:c r="D29" s="80" t="str">
        <x:v>DRE</x:v>
      </x:c>
      <x:c r="E29" s="80" t="str">
        <x:v>3.03 / 3.01</x:v>
      </x:c>
      <x:c r="F29" s="80" t="str">
        <x:v>%</x:v>
      </x:c>
      <x:c r="G29" s="80" t="str">
        <x:v>Lucro bruto / receita</x:v>
      </x:c>
    </x:row>
    <x:row r="30">
      <x:c r="A30" s="80" t="str">
        <x:v>Margem_Operacional</x:v>
      </x:c>
      <x:c r="B30" s="80" t="str">
        <x:v>Margem operacional</x:v>
      </x:c>
      <x:c r="C30" s="80" t="str">
        <x:v>Calculado</x:v>
      </x:c>
      <x:c r="D30" s="80" t="str">
        <x:v>DRE</x:v>
      </x:c>
      <x:c r="E30" s="80" t="str">
        <x:v>3.05 / 3.01</x:v>
      </x:c>
      <x:c r="F30" s="80" t="str">
        <x:v>%</x:v>
      </x:c>
      <x:c r="G30" s="80" t="str">
        <x:v>Resultado operacional / receita</x:v>
      </x:c>
    </x:row>
    <x:row r="31">
      <x:c r="A31" s="80" t="str">
        <x:v>Margem_Liquida</x:v>
      </x:c>
      <x:c r="B31" s="80" t="str">
        <x:v>Margem líquida</x:v>
      </x:c>
      <x:c r="C31" s="80" t="str">
        <x:v>Calculado</x:v>
      </x:c>
      <x:c r="D31" s="80" t="str">
        <x:v>DRE</x:v>
      </x:c>
      <x:c r="E31" s="80" t="str">
        <x:v>3.11 / 3.01</x:v>
      </x:c>
      <x:c r="F31" s="80" t="str">
        <x:v>%</x:v>
      </x:c>
      <x:c r="G31" s="80" t="str">
        <x:v>Lucro líquido / receita</x:v>
      </x:c>
    </x:row>
    <x:row r="32">
      <x:c r="A32" s="80" t="str">
        <x:v>Liquidez_Corrente</x:v>
      </x:c>
      <x:c r="B32" s="80" t="str">
        <x:v>Liquidez corrente</x:v>
      </x:c>
      <x:c r="C32" s="80" t="str">
        <x:v>Calculado</x:v>
      </x:c>
      <x:c r="D32" s="80" t="str">
        <x:v>BPA/BPP</x:v>
      </x:c>
      <x:c r="E32" s="80" t="str">
        <x:v>1.01 / 2.01</x:v>
      </x:c>
      <x:c r="F32" s="80" t="str">
        <x:v>x</x:v>
      </x:c>
      <x:c r="G32" s="80" t="str">
        <x:v>Ativo circulante / passivo circulante</x:v>
      </x:c>
    </x:row>
  </x:sheetData>
  <x:pageMargins left="0.7" right="0.7" top="0.75" bottom="0.75" header="0.3" footer="0.3"/>
  <x:tableParts count="1">
    <x:tablePart xmlns:r="http://schemas.openxmlformats.org/officeDocument/2006/relationships" r:id="Rf05385d30dca41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  <x:col min="3" max="3" width="74" hidden="0" customWidth="1"/>
  </x:cols>
  <x:sheetData>
    <x:row r="1">
      <x:c r="A1" s="3" t="str">
        <x:v>Fontes e Rastreabilidade</x:v>
      </x:c>
      <x:c r="B1" s="3" t="str">
        <x:v>Fontes e Rastreabilidade</x:v>
      </x:c>
      <x:c r="C1" s="3" t="str">
        <x:v>Fontes e Rastreabilidade</x:v>
      </x:c>
      <x:c r="D1" s="3" t="str">
        <x:v>Fontes e Rastreabilidade</x:v>
      </x:c>
      <x:c r="E1" s="3" t="str">
        <x:v>Fontes e Rastreabilidade</x:v>
      </x:c>
      <x:c r="F1" s="3" t="str">
        <x:v>Fontes e Rastreabilidade</x:v>
      </x:c>
    </x:row>
    <x:row r="2">
      <x:c r="A2" s="3" t="str">
        <x:v>Fontes e Rastreabilidade</x:v>
      </x:c>
      <x:c r="B2" s="3" t="str">
        <x:v>Fontes e Rastreabilidade</x:v>
      </x:c>
      <x:c r="C2" s="3" t="str">
        <x:v>Fontes e Rastreabilidade</x:v>
      </x:c>
      <x:c r="D2" s="3" t="str">
        <x:v>Fontes e Rastreabilidade</x:v>
      </x:c>
      <x:c r="E2" s="3" t="str">
        <x:v>Fontes e Rastreabilidade</x:v>
      </x:c>
      <x:c r="F2" s="3" t="str">
        <x:v>Fontes e Rastreabilidade</x:v>
      </x:c>
    </x:row>
    <x:row r="3">
      <x:c r="A3" s="6" t="str">
        <x:v>Dados públicos, regras de seleção e hashes dos arquivos baixados</x:v>
      </x:c>
      <x:c r="B3" s="6" t="str">
        <x:v>Dados públicos, regras de seleção e hashes dos arquivos baixados</x:v>
      </x:c>
      <x:c r="C3" s="6" t="str">
        <x:v>Dados públicos, regras de seleção e hashes dos arquivos baixados</x:v>
      </x:c>
      <x:c r="D3" s="6" t="str">
        <x:v>Dados públicos, regras de seleção e hashes dos arquivos baixados</x:v>
      </x:c>
      <x:c r="E3" s="6" t="str">
        <x:v>Dados públicos, regras de seleção e hashes dos arquivos baixados</x:v>
      </x:c>
      <x:c r="F3" s="6" t="str">
        <x:v>Dados públicos, regras de seleção e hashes dos arquivos baixados</x:v>
      </x:c>
      <x:c r="G3" s="6" t="str">
        <x:v>Dados públicos, regras de seleção e hashes dos arquivos baixados</x:v>
      </x:c>
      <x:c r="H3" s="6" t="str">
        <x:v>Dados públicos, regras de seleção e hashes dos arquivos baixados</x:v>
      </x:c>
      <x:c r="I3" s="6" t="str">
        <x:v>Dados públicos, regras de seleção e hashes dos arquivos baixados</x:v>
      </x:c>
      <x:c r="J3" s="6" t="str">
        <x:v>Dados públicos, regras de seleção e hashes dos arquivos baixados</x:v>
      </x:c>
      <x:c r="K3" s="6" t="str">
        <x:v>Dados públicos, regras de seleção e hashes dos arquivos baixados</x:v>
      </x:c>
      <x:c r="L3" s="6" t="str">
        <x:v>Dados públicos, regras de seleção e hashes dos arquivos baixados</x:v>
      </x:c>
      <x:c r="M3" s="6" t="str">
        <x:v>Dados públicos, regras de seleção e hashes dos arquivos baixados</x:v>
      </x:c>
      <x:c r="N3" s="6" t="str">
        <x:v>Dados públicos, regras de seleção e hashes dos arquivos baixados</x:v>
      </x:c>
    </x:row>
    <x:row r="5">
      <x:c r="A5" s="12" t="str">
        <x:v>Campo</x:v>
      </x:c>
      <x:c r="B5" s="16" t="str">
        <x:v>Valor</x:v>
      </x:c>
    </x:row>
    <x:row r="6">
      <x:c r="A6" s="12" t="str">
        <x:v>Empresa</x:v>
      </x:c>
      <x:c r="B6" s="16" t="str">
        <x:v>MAGAZINE LUIZA S.A.</x:v>
      </x:c>
    </x:row>
    <x:row r="7">
      <x:c r="A7" s="12" t="str">
        <x:v>CNPJ</x:v>
      </x:c>
      <x:c r="B7" s="16" t="str">
        <x:v>47.960.950/0001-21</x:v>
      </x:c>
    </x:row>
    <x:row r="8">
      <x:c r="A8" s="12" t="str">
        <x:v>Fonte</x:v>
      </x:c>
      <x:c r="B8" s="16" t="str">
        <x:v>Portal de Dados Abertos da CVM - DFP</x:v>
      </x:c>
    </x:row>
    <x:row r="9">
      <x:c r="A9" s="12" t="str">
        <x:v>URL do dataset</x:v>
      </x:c>
      <x:c r="B9" s="16" t="str">
        <x:v>https://dados.cvm.gov.br/dataset/cia_aberta-doc-dfp</x:v>
      </x:c>
    </x:row>
    <x:row r="10">
      <x:c r="A10" s="12" t="str">
        <x:v>Escala original</x:v>
      </x:c>
      <x:c r="B10" s="16" t="str">
        <x:v>MIL</x:v>
      </x:c>
    </x:row>
    <x:row r="11">
      <x:c r="A11" s="12" t="str">
        <x:v>Escala do modelo</x:v>
      </x:c>
      <x:c r="B11" s="16" t="str">
        <x:v>R$ milhões</x:v>
      </x:c>
    </x:row>
    <x:row r="12">
      <x:c r="A12" s="12" t="str">
        <x:v>Data de acesso</x:v>
      </x:c>
      <x:c r="B12" s="16" t="str">
        <x:v>2026-08-11</x:v>
      </x:c>
    </x:row>
    <x:row r="13">
      <x:c r="A13" s="12" t="str">
        <x:v>Critério de seleção</x:v>
      </x:c>
      <x:c r="B13" s="16" t="str">
        <x:v>Demonstrações consolidadas; ORDEM_EXERC=ÚLTIMO; maior VERSAO por ano</x:v>
      </x:c>
    </x:row>
    <x:row r="15">
      <x:c r="A15" s="12" t="str">
        <x:v>Ano</x:v>
      </x:c>
      <x:c r="B15" s="12" t="str">
        <x:v>Arquivo</x:v>
      </x:c>
      <x:c r="C15" s="12" t="str">
        <x:v>SHA-256</x:v>
      </x:c>
    </x:row>
    <x:row r="16">
      <x:c r="A16" s="16" t="n">
        <x:v>2021</x:v>
      </x:c>
      <x:c r="B16" s="16" t="str">
        <x:v>dfp_cia_aberta_2021.zip</x:v>
      </x:c>
      <x:c r="C16" s="16" t="str">
        <x:v>64b8693b709538a0357c5179ae02231cb380d0000956ee57a873a21d4efda2e4</x:v>
      </x:c>
    </x:row>
    <x:row r="17">
      <x:c r="A17" s="16" t="n">
        <x:v>2022</x:v>
      </x:c>
      <x:c r="B17" s="16" t="str">
        <x:v>dfp_cia_aberta_2022.zip</x:v>
      </x:c>
      <x:c r="C17" s="16" t="str">
        <x:v>d5d60d04c772cb0183ecc744652b1c4b50c7b4e791243331b90ad256615b2dd8</x:v>
      </x:c>
    </x:row>
    <x:row r="18">
      <x:c r="A18" s="16" t="n">
        <x:v>2023</x:v>
      </x:c>
      <x:c r="B18" s="16" t="str">
        <x:v>dfp_cia_aberta_2023.zip</x:v>
      </x:c>
      <x:c r="C18" s="16" t="str">
        <x:v>3de5b9a5dddd0dad376658c8517b6c0b8d47b2d1e904905dbe512292f2f814eb</x:v>
      </x:c>
    </x:row>
    <x:row r="19">
      <x:c r="A19" s="16" t="n">
        <x:v>2024</x:v>
      </x:c>
      <x:c r="B19" s="16" t="str">
        <x:v>dfp_cia_aberta_2024.zip</x:v>
      </x:c>
      <x:c r="C19" s="16" t="str">
        <x:v>9dcd1641a80d910ab59e354c560db03560e1f67963f49211b2cf8da33ba16aa0</x:v>
      </x:c>
    </x:row>
    <x:row r="20">
      <x:c r="A20" s="16" t="n">
        <x:v>2025</x:v>
      </x:c>
      <x:c r="B20" s="16" t="str">
        <x:v>dfp_cia_aberta_2025.zip</x:v>
      </x:c>
      <x:c r="C20" s="16" t="str">
        <x:v>5690c0574e493adc92f6156bb859c8900769a82b4e56af05f043bf15a54bd2d1</x:v>
      </x:c>
    </x:row>
    <x:row r="23">
      <x:c r="A23" s="100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B23" s="101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C23" s="101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D23" s="101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E23" s="101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F23" s="102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</x:row>
    <x:row r="24">
      <x:c r="A24" s="103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B24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C24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D24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E24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F24" s="105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</x:row>
    <x:row r="25">
      <x:c r="A25" s="103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B25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C25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D25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E25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F25" s="105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</x:row>
    <x:row r="26">
      <x:c r="A26" s="103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B26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C26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D26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E26" s="104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F26" s="105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</x:row>
    <x:row r="27">
      <x:c r="A27" s="106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B27" s="107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C27" s="107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D27" s="107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E27" s="107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  <x:c r="F27" s="108" t="str">
        <x:v>Licenciamento dos dados: os conjuntos do Portal de Dados Abertos da CVM são disponibilizados sob ODbL. Esta planilha registra dados derivados e metadados de rastreabilidade. O código e a documentação do projeto são licenciados separadamente sob MIT.</x:v>
      </x:c>
    </x:row>
  </x:sheetData>
  <x:mergeCells>
    <x:mergeCell ref="A1:F2"/>
    <x:mergeCell ref="A3:N3"/>
    <x:mergeCell ref="A23:F27"/>
  </x:mergeCells>
  <x:pageMargins left="0.7" right="0.7" top="0.75" bottom="0.75" header="0.3" footer="0.3"/>
</x:worksheet>
</file>